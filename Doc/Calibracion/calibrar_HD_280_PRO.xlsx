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60" yWindow="300" windowWidth="14880" windowHeight="7812" activeTab="2"/>
  </bookViews>
  <sheets>
    <sheet name="Calibrar" sheetId="1" r:id="rId1"/>
    <sheet name="Octabas" sheetId="2" r:id="rId2"/>
    <sheet name="dB mover" sheetId="3" r:id="rId3"/>
  </sheets>
  <calcPr calcId="124519"/>
</workbook>
</file>

<file path=xl/calcChain.xml><?xml version="1.0" encoding="utf-8"?>
<calcChain xmlns="http://schemas.openxmlformats.org/spreadsheetml/2006/main">
  <c r="I6" i="3"/>
  <c r="C9"/>
  <c r="C6"/>
  <c r="E8"/>
  <c r="E6"/>
  <c r="F5"/>
  <c r="E5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5"/>
  <c r="C5"/>
  <c r="H8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7"/>
  <c r="C34" i="1"/>
  <c r="D6" i="2"/>
  <c r="E9" s="1"/>
  <c r="M6"/>
  <c r="M9"/>
  <c r="D9"/>
  <c r="P7" i="1"/>
  <c r="P8"/>
  <c r="P9"/>
  <c r="P10"/>
  <c r="P11"/>
  <c r="P12"/>
  <c r="P13"/>
  <c r="P14"/>
  <c r="P15"/>
  <c r="P16"/>
  <c r="P17"/>
  <c r="P18"/>
  <c r="P19"/>
  <c r="P20"/>
  <c r="P21"/>
  <c r="P22"/>
  <c r="P6"/>
  <c r="F9" i="2" l="1"/>
  <c r="F6"/>
  <c r="E6"/>
  <c r="H6" l="1"/>
  <c r="H9"/>
</calcChain>
</file>

<file path=xl/sharedStrings.xml><?xml version="1.0" encoding="utf-8"?>
<sst xmlns="http://schemas.openxmlformats.org/spreadsheetml/2006/main" count="51" uniqueCount="46">
  <si>
    <t>Interpolación de los valores de calibracion de los cascos HD 280 PRO</t>
  </si>
  <si>
    <t>Valor fijo de lmax (sensibilidad)= 117 dB</t>
  </si>
  <si>
    <t>dB measure</t>
  </si>
  <si>
    <t>Rigth</t>
  </si>
  <si>
    <t>Left</t>
  </si>
  <si>
    <t>Buscando un nivel sonoro de 94 dB en el sonómetro</t>
  </si>
  <si>
    <t>Calibrar</t>
  </si>
  <si>
    <t>Para calibrar los cascos se importan en unn archivo calibrar.ini y se usa la función de Matlab de interp1(x,y,x1)</t>
  </si>
  <si>
    <t>Se ha medido en la misma oreja (soporte de oreja grande del maniquí), con el mismo micrófeno, calibrando previamente el sonómetro a 93.9 dBSPL</t>
  </si>
  <si>
    <t>"A frecuencias bajas se observa una mayor variación debido a que estas siguen el camino más corto (dispersión)" Petter.</t>
  </si>
  <si>
    <t>"La diferencia (de las frecuencias) se puede deber a la atenuación que haga la oreja del maniquí" Enrique.</t>
  </si>
  <si>
    <t>Se ha medido con una frecuencia de muestreo de 44100 Hz, y con rampa de 50 ms tanto en la entrada como la salida de la señal. En el código usado se ha tomado las funciones de Almudena Eustaquio Martín.</t>
  </si>
  <si>
    <t>dB quiero</t>
  </si>
  <si>
    <t>dB_tengo_que_dar</t>
  </si>
  <si>
    <t>Para 1000 Hz</t>
  </si>
  <si>
    <t>dB_tengo_que_dar = dB_quiero - (dB_interpol - 94)</t>
  </si>
  <si>
    <t>Porque esta calibrado para 94</t>
  </si>
  <si>
    <t>Octava</t>
  </si>
  <si>
    <t>Frecuencia 1</t>
  </si>
  <si>
    <t>Frecuencia 2</t>
  </si>
  <si>
    <t>Error octava</t>
  </si>
  <si>
    <t>Ancho/2</t>
  </si>
  <si>
    <t>Ancho de banda (Hz)</t>
  </si>
  <si>
    <t>Condicion de estar en ancho de banda de la Frecuencia 1</t>
  </si>
  <si>
    <t>Condicion de estar en ancho de banda de la Frecuencia 2</t>
  </si>
  <si>
    <r>
      <t xml:space="preserve">Se pone </t>
    </r>
    <r>
      <rPr>
        <b/>
        <sz val="11"/>
        <color theme="1"/>
        <rFont val="Calibri"/>
        <family val="2"/>
        <scheme val="minor"/>
      </rPr>
      <t>Dentro</t>
    </r>
    <r>
      <rPr>
        <sz val="11"/>
        <color theme="1"/>
        <rFont val="Calibri"/>
        <family val="2"/>
        <scheme val="minor"/>
      </rPr>
      <t xml:space="preserve"> cuando la frecuencia contraria está dentro del bando de ancha</t>
    </r>
  </si>
  <si>
    <r>
      <t xml:space="preserve">Se pone </t>
    </r>
    <r>
      <rPr>
        <b/>
        <sz val="11"/>
        <color theme="1"/>
        <rFont val="Calibri"/>
        <family val="2"/>
        <scheme val="minor"/>
      </rPr>
      <t>Fuera</t>
    </r>
    <r>
      <rPr>
        <sz val="11"/>
        <color theme="1"/>
        <rFont val="Calibri"/>
        <family val="2"/>
        <scheme val="minor"/>
      </rPr>
      <t xml:space="preserve"> cuando la frecuencia contraria está fuera del bando de ancha</t>
    </r>
  </si>
  <si>
    <t>Instrucciones:</t>
  </si>
  <si>
    <t>El error de la octava se aporta por convenio</t>
  </si>
  <si>
    <t>Las frecuencias 1 y 2 son variables y se usan para determinar el rango desde el cual se deja de escuchar distincion de sonidos</t>
  </si>
  <si>
    <t>Fuera</t>
  </si>
  <si>
    <t>Dentro</t>
  </si>
  <si>
    <t>Información</t>
  </si>
  <si>
    <t xml:space="preserve"> COPYRIGHT NOTICE:</t>
  </si>
  <si>
    <t xml:space="preserve">  © 2025 Irene Rodríguez Sánchez. Universidad de Salamanca</t>
  </si>
  <si>
    <t xml:space="preserve">           irene.rodsan@usal.es</t>
  </si>
  <si>
    <r>
      <t>El ancho de banda se calcula como 2*</t>
    </r>
    <r>
      <rPr>
        <sz val="11"/>
        <color theme="1"/>
        <rFont val="Calibri"/>
        <family val="2"/>
      </rPr>
      <t>(0.01*frecuencia)</t>
    </r>
  </si>
  <si>
    <t>Todo en SPL</t>
  </si>
  <si>
    <t>dB tengo</t>
  </si>
  <si>
    <t>dB muevo</t>
  </si>
  <si>
    <t>dB finales</t>
  </si>
  <si>
    <t>inten muevo</t>
  </si>
  <si>
    <t>dB=20*log10(inten/raiz(2))</t>
  </si>
  <si>
    <t>inten tengo</t>
  </si>
  <si>
    <t>dB</t>
  </si>
  <si>
    <t>inten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</si>
</sst>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3" fillId="0" borderId="0" xfId="0" applyFont="1"/>
    <xf numFmtId="0" fontId="0" fillId="5" borderId="0" xfId="0" applyFill="1"/>
    <xf numFmtId="0" fontId="0" fillId="0" borderId="0" xfId="0" applyFont="1"/>
    <xf numFmtId="0" fontId="1" fillId="0" borderId="1" xfId="0" applyFont="1" applyBorder="1"/>
    <xf numFmtId="0" fontId="0" fillId="6" borderId="0" xfId="0" applyFill="1"/>
    <xf numFmtId="0" fontId="0" fillId="7" borderId="0" xfId="0" applyFill="1"/>
    <xf numFmtId="0" fontId="1" fillId="0" borderId="2" xfId="0" applyFont="1" applyBorder="1"/>
    <xf numFmtId="0" fontId="0" fillId="6" borderId="2" xfId="0" applyFill="1" applyBorder="1"/>
    <xf numFmtId="0" fontId="0" fillId="4" borderId="2" xfId="0" applyFill="1" applyBorder="1"/>
    <xf numFmtId="0" fontId="0" fillId="0" borderId="2" xfId="0" applyBorder="1"/>
    <xf numFmtId="0" fontId="0" fillId="7" borderId="2" xfId="0" applyFill="1" applyBorder="1"/>
    <xf numFmtId="0" fontId="1" fillId="7" borderId="0" xfId="0" applyFont="1" applyFill="1"/>
    <xf numFmtId="0" fontId="0" fillId="8" borderId="3" xfId="0" applyFill="1" applyBorder="1"/>
    <xf numFmtId="0" fontId="0" fillId="8" borderId="4" xfId="0" applyFill="1" applyBorder="1"/>
    <xf numFmtId="0" fontId="0" fillId="8" borderId="5" xfId="0" applyFill="1" applyBorder="1"/>
    <xf numFmtId="0" fontId="0" fillId="8" borderId="6" xfId="0" applyFill="1" applyBorder="1"/>
    <xf numFmtId="0" fontId="0" fillId="8" borderId="0" xfId="0" applyFill="1" applyBorder="1"/>
    <xf numFmtId="0" fontId="0" fillId="8" borderId="7" xfId="0" applyFill="1" applyBorder="1"/>
    <xf numFmtId="0" fontId="0" fillId="8" borderId="8" xfId="0" applyFill="1" applyBorder="1"/>
    <xf numFmtId="0" fontId="0" fillId="8" borderId="1" xfId="0" applyFill="1" applyBorder="1"/>
    <xf numFmtId="0" fontId="0" fillId="8" borderId="9" xfId="0" applyFill="1" applyBorder="1"/>
    <xf numFmtId="0" fontId="0" fillId="4" borderId="0" xfId="0" applyFill="1" applyAlignment="1">
      <alignment horizontal="center"/>
    </xf>
    <xf numFmtId="0" fontId="5" fillId="0" borderId="0" xfId="0" applyFont="1"/>
    <xf numFmtId="0" fontId="0" fillId="0" borderId="1" xfId="0" applyBorder="1"/>
  </cellXfs>
  <cellStyles count="1"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theme="6" tint="0.7999816888943144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>
        <c:rich>
          <a:bodyPr/>
          <a:lstStyle/>
          <a:p>
            <a:pPr>
              <a:defRPr/>
            </a:pPr>
            <a:r>
              <a:rPr lang="es-ES"/>
              <a:t>Calibración en dB para</a:t>
            </a:r>
            <a:r>
              <a:rPr lang="es-ES" baseline="0"/>
              <a:t> ambos oídos</a:t>
            </a:r>
            <a:endParaRPr lang="es-ES"/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dere</c:v>
          </c:tx>
          <c:xVal>
            <c:numRef>
              <c:f>Calibrar!$A$6:$A$22</c:f>
              <c:numCache>
                <c:formatCode>General</c:formatCode>
                <c:ptCount val="17"/>
                <c:pt idx="0">
                  <c:v>100</c:v>
                </c:pt>
                <c:pt idx="1">
                  <c:v>200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1500</c:v>
                </c:pt>
                <c:pt idx="6">
                  <c:v>2000</c:v>
                </c:pt>
                <c:pt idx="7">
                  <c:v>3000</c:v>
                </c:pt>
                <c:pt idx="8">
                  <c:v>4000</c:v>
                </c:pt>
                <c:pt idx="9">
                  <c:v>5000</c:v>
                </c:pt>
                <c:pt idx="10">
                  <c:v>6000</c:v>
                </c:pt>
                <c:pt idx="11">
                  <c:v>7000</c:v>
                </c:pt>
                <c:pt idx="12">
                  <c:v>8000</c:v>
                </c:pt>
                <c:pt idx="13">
                  <c:v>9000</c:v>
                </c:pt>
                <c:pt idx="14">
                  <c:v>10000</c:v>
                </c:pt>
                <c:pt idx="15">
                  <c:v>11000</c:v>
                </c:pt>
                <c:pt idx="16">
                  <c:v>12000</c:v>
                </c:pt>
              </c:numCache>
            </c:numRef>
          </c:xVal>
          <c:yVal>
            <c:numRef>
              <c:f>Calibrar!$B$6:$B$22</c:f>
              <c:numCache>
                <c:formatCode>General</c:formatCode>
                <c:ptCount val="17"/>
                <c:pt idx="0">
                  <c:v>86.4</c:v>
                </c:pt>
                <c:pt idx="1">
                  <c:v>88.1</c:v>
                </c:pt>
                <c:pt idx="2">
                  <c:v>95.7</c:v>
                </c:pt>
                <c:pt idx="3">
                  <c:v>95</c:v>
                </c:pt>
                <c:pt idx="4">
                  <c:v>94.5</c:v>
                </c:pt>
                <c:pt idx="5">
                  <c:v>94.8</c:v>
                </c:pt>
                <c:pt idx="6">
                  <c:v>99</c:v>
                </c:pt>
                <c:pt idx="7">
                  <c:v>94.3</c:v>
                </c:pt>
                <c:pt idx="8">
                  <c:v>90.3</c:v>
                </c:pt>
                <c:pt idx="9">
                  <c:v>90.9</c:v>
                </c:pt>
                <c:pt idx="10">
                  <c:v>92.8</c:v>
                </c:pt>
                <c:pt idx="11">
                  <c:v>87.3</c:v>
                </c:pt>
                <c:pt idx="12">
                  <c:v>89.8</c:v>
                </c:pt>
                <c:pt idx="13">
                  <c:v>88.8</c:v>
                </c:pt>
                <c:pt idx="14">
                  <c:v>86.2</c:v>
                </c:pt>
                <c:pt idx="15">
                  <c:v>79.099999999999994</c:v>
                </c:pt>
                <c:pt idx="16">
                  <c:v>78.8</c:v>
                </c:pt>
              </c:numCache>
            </c:numRef>
          </c:yVal>
        </c:ser>
        <c:ser>
          <c:idx val="1"/>
          <c:order val="1"/>
          <c:tx>
            <c:v>izq</c:v>
          </c:tx>
          <c:xVal>
            <c:numRef>
              <c:f>Calibrar!$D$6:$D$22</c:f>
              <c:numCache>
                <c:formatCode>General</c:formatCode>
                <c:ptCount val="17"/>
                <c:pt idx="0">
                  <c:v>100</c:v>
                </c:pt>
                <c:pt idx="1">
                  <c:v>200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1500</c:v>
                </c:pt>
                <c:pt idx="6">
                  <c:v>2000</c:v>
                </c:pt>
                <c:pt idx="7">
                  <c:v>3000</c:v>
                </c:pt>
                <c:pt idx="8">
                  <c:v>4000</c:v>
                </c:pt>
                <c:pt idx="9">
                  <c:v>5000</c:v>
                </c:pt>
                <c:pt idx="10">
                  <c:v>6000</c:v>
                </c:pt>
                <c:pt idx="11">
                  <c:v>7000</c:v>
                </c:pt>
                <c:pt idx="12">
                  <c:v>8000</c:v>
                </c:pt>
                <c:pt idx="13">
                  <c:v>9000</c:v>
                </c:pt>
                <c:pt idx="14">
                  <c:v>10000</c:v>
                </c:pt>
                <c:pt idx="15">
                  <c:v>11000</c:v>
                </c:pt>
                <c:pt idx="16">
                  <c:v>12000</c:v>
                </c:pt>
              </c:numCache>
            </c:numRef>
          </c:xVal>
          <c:yVal>
            <c:numRef>
              <c:f>Calibrar!$E$6:$E$22</c:f>
              <c:numCache>
                <c:formatCode>General</c:formatCode>
                <c:ptCount val="17"/>
                <c:pt idx="0">
                  <c:v>87.7</c:v>
                </c:pt>
                <c:pt idx="1">
                  <c:v>88.8</c:v>
                </c:pt>
                <c:pt idx="2">
                  <c:v>94.6</c:v>
                </c:pt>
                <c:pt idx="3">
                  <c:v>93.5</c:v>
                </c:pt>
                <c:pt idx="4">
                  <c:v>94.6</c:v>
                </c:pt>
                <c:pt idx="5">
                  <c:v>95.8</c:v>
                </c:pt>
                <c:pt idx="6">
                  <c:v>100.1</c:v>
                </c:pt>
                <c:pt idx="7">
                  <c:v>94</c:v>
                </c:pt>
                <c:pt idx="8">
                  <c:v>91.2</c:v>
                </c:pt>
                <c:pt idx="9">
                  <c:v>92.3</c:v>
                </c:pt>
                <c:pt idx="10">
                  <c:v>92.2</c:v>
                </c:pt>
                <c:pt idx="11">
                  <c:v>87</c:v>
                </c:pt>
                <c:pt idx="12">
                  <c:v>87.2</c:v>
                </c:pt>
                <c:pt idx="13">
                  <c:v>88.6</c:v>
                </c:pt>
                <c:pt idx="14">
                  <c:v>85.6</c:v>
                </c:pt>
                <c:pt idx="15">
                  <c:v>81.099999999999994</c:v>
                </c:pt>
                <c:pt idx="16">
                  <c:v>83.9</c:v>
                </c:pt>
              </c:numCache>
            </c:numRef>
          </c:yVal>
        </c:ser>
        <c:ser>
          <c:idx val="2"/>
          <c:order val="2"/>
          <c:tx>
            <c:v>Calibrar</c:v>
          </c:tx>
          <c:marker>
            <c:symbol val="none"/>
          </c:marker>
          <c:xVal>
            <c:numRef>
              <c:f>Calibrar!$O$6:$O$22</c:f>
              <c:numCache>
                <c:formatCode>General</c:formatCode>
                <c:ptCount val="17"/>
                <c:pt idx="0">
                  <c:v>100</c:v>
                </c:pt>
                <c:pt idx="1">
                  <c:v>200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1500</c:v>
                </c:pt>
                <c:pt idx="6">
                  <c:v>2000</c:v>
                </c:pt>
                <c:pt idx="7">
                  <c:v>3000</c:v>
                </c:pt>
                <c:pt idx="8">
                  <c:v>4000</c:v>
                </c:pt>
                <c:pt idx="9">
                  <c:v>5000</c:v>
                </c:pt>
                <c:pt idx="10">
                  <c:v>6000</c:v>
                </c:pt>
                <c:pt idx="11">
                  <c:v>7000</c:v>
                </c:pt>
                <c:pt idx="12">
                  <c:v>8000</c:v>
                </c:pt>
                <c:pt idx="13">
                  <c:v>9000</c:v>
                </c:pt>
                <c:pt idx="14">
                  <c:v>10000</c:v>
                </c:pt>
                <c:pt idx="15">
                  <c:v>11000</c:v>
                </c:pt>
                <c:pt idx="16">
                  <c:v>12000</c:v>
                </c:pt>
              </c:numCache>
            </c:numRef>
          </c:xVal>
          <c:yVal>
            <c:numRef>
              <c:f>Calibrar!$P$6:$P$22</c:f>
              <c:numCache>
                <c:formatCode>General</c:formatCode>
                <c:ptCount val="17"/>
                <c:pt idx="0">
                  <c:v>94</c:v>
                </c:pt>
                <c:pt idx="1">
                  <c:v>94</c:v>
                </c:pt>
                <c:pt idx="2">
                  <c:v>94</c:v>
                </c:pt>
                <c:pt idx="3">
                  <c:v>94</c:v>
                </c:pt>
                <c:pt idx="4">
                  <c:v>94</c:v>
                </c:pt>
                <c:pt idx="5">
                  <c:v>94</c:v>
                </c:pt>
                <c:pt idx="6">
                  <c:v>94</c:v>
                </c:pt>
                <c:pt idx="7">
                  <c:v>94</c:v>
                </c:pt>
                <c:pt idx="8">
                  <c:v>94</c:v>
                </c:pt>
                <c:pt idx="9">
                  <c:v>94</c:v>
                </c:pt>
                <c:pt idx="10">
                  <c:v>94</c:v>
                </c:pt>
                <c:pt idx="11">
                  <c:v>94</c:v>
                </c:pt>
                <c:pt idx="12">
                  <c:v>94</c:v>
                </c:pt>
                <c:pt idx="13">
                  <c:v>94</c:v>
                </c:pt>
                <c:pt idx="14">
                  <c:v>94</c:v>
                </c:pt>
                <c:pt idx="15">
                  <c:v>94</c:v>
                </c:pt>
                <c:pt idx="16">
                  <c:v>94</c:v>
                </c:pt>
              </c:numCache>
            </c:numRef>
          </c:yVal>
        </c:ser>
        <c:axId val="190818176"/>
        <c:axId val="191103360"/>
      </c:scatterChart>
      <c:valAx>
        <c:axId val="190818176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Frecuencias (Hz)</a:t>
                </a:r>
              </a:p>
            </c:rich>
          </c:tx>
          <c:layout/>
        </c:title>
        <c:numFmt formatCode="General" sourceLinked="1"/>
        <c:tickLblPos val="nextTo"/>
        <c:crossAx val="191103360"/>
        <c:crosses val="autoZero"/>
        <c:crossBetween val="midCat"/>
      </c:valAx>
      <c:valAx>
        <c:axId val="191103360"/>
        <c:scaling>
          <c:orientation val="minMax"/>
          <c:max val="105"/>
          <c:min val="75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s-ES"/>
                  <a:t>Nivel sonoro (dBSPL)</a:t>
                </a:r>
              </a:p>
            </c:rich>
          </c:tx>
          <c:layout/>
        </c:title>
        <c:numFmt formatCode="General" sourceLinked="1"/>
        <c:tickLblPos val="nextTo"/>
        <c:crossAx val="19081817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plotArea>
      <c:layout/>
      <c:scatterChart>
        <c:scatterStyle val="lineMarker"/>
        <c:ser>
          <c:idx val="0"/>
          <c:order val="0"/>
          <c:xVal>
            <c:numRef>
              <c:f>'dB mover'!$I$5:$I$28</c:f>
              <c:numCache>
                <c:formatCode>General</c:formatCode>
                <c:ptCount val="24"/>
                <c:pt idx="0">
                  <c:v>1.4142135623730951</c:v>
                </c:pt>
                <c:pt idx="1">
                  <c:v>1.7803893913754452</c:v>
                </c:pt>
                <c:pt idx="2">
                  <c:v>2.2413774476912991</c:v>
                </c:pt>
                <c:pt idx="3">
                  <c:v>2.8217270263209282</c:v>
                </c:pt>
                <c:pt idx="4">
                  <c:v>3.5523438585818057</c:v>
                </c:pt>
                <c:pt idx="5">
                  <c:v>4.4721359549995796</c:v>
                </c:pt>
                <c:pt idx="6">
                  <c:v>5.630085598747347</c:v>
                </c:pt>
                <c:pt idx="7">
                  <c:v>7.0878578308394147</c:v>
                </c:pt>
                <c:pt idx="8">
                  <c:v>8.9230843384280245</c:v>
                </c:pt>
                <c:pt idx="9">
                  <c:v>11.233497625229585</c:v>
                </c:pt>
                <c:pt idx="10">
                  <c:v>14.142135623730951</c:v>
                </c:pt>
                <c:pt idx="11">
                  <c:v>17.803893913754461</c:v>
                </c:pt>
                <c:pt idx="12">
                  <c:v>22.413774476912991</c:v>
                </c:pt>
                <c:pt idx="13">
                  <c:v>28.21727026320929</c:v>
                </c:pt>
                <c:pt idx="14">
                  <c:v>35.523438585818049</c:v>
                </c:pt>
                <c:pt idx="15">
                  <c:v>44.72135954999581</c:v>
                </c:pt>
                <c:pt idx="16">
                  <c:v>56.300855987473511</c:v>
                </c:pt>
                <c:pt idx="17">
                  <c:v>70.878578308394154</c:v>
                </c:pt>
                <c:pt idx="18">
                  <c:v>89.230843384280277</c:v>
                </c:pt>
                <c:pt idx="19">
                  <c:v>112.33497625229589</c:v>
                </c:pt>
                <c:pt idx="20">
                  <c:v>141.42135623730951</c:v>
                </c:pt>
                <c:pt idx="21">
                  <c:v>178.03893913754456</c:v>
                </c:pt>
                <c:pt idx="22">
                  <c:v>224.13774476913014</c:v>
                </c:pt>
                <c:pt idx="23">
                  <c:v>282.17270263209286</c:v>
                </c:pt>
              </c:numCache>
            </c:numRef>
          </c:xVal>
          <c:yVal>
            <c:numRef>
              <c:f>'dB mover'!$H$5:$H$28</c:f>
              <c:numCache>
                <c:formatCode>General</c:formatCode>
                <c:ptCount val="24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</c:numCache>
            </c:numRef>
          </c:yVal>
        </c:ser>
        <c:axId val="52293632"/>
        <c:axId val="52291840"/>
      </c:scatterChart>
      <c:valAx>
        <c:axId val="522936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Intensidad</a:t>
                </a:r>
              </a:p>
            </c:rich>
          </c:tx>
          <c:layout/>
        </c:title>
        <c:numFmt formatCode="General" sourceLinked="1"/>
        <c:tickLblPos val="nextTo"/>
        <c:crossAx val="52291840"/>
        <c:crosses val="autoZero"/>
        <c:crossBetween val="midCat"/>
      </c:valAx>
      <c:valAx>
        <c:axId val="52291840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s-ES"/>
                  <a:t>dB SPL</a:t>
                </a:r>
              </a:p>
            </c:rich>
          </c:tx>
          <c:layout/>
        </c:title>
        <c:numFmt formatCode="General" sourceLinked="1"/>
        <c:tickLblPos val="nextTo"/>
        <c:crossAx val="52293632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289560</xdr:colOff>
      <xdr:row>3</xdr:row>
      <xdr:rowOff>106680</xdr:rowOff>
    </xdr:from>
    <xdr:to>
      <xdr:col>13</xdr:col>
      <xdr:colOff>198120</xdr:colOff>
      <xdr:row>23</xdr:row>
      <xdr:rowOff>121920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609600</xdr:colOff>
      <xdr:row>5</xdr:row>
      <xdr:rowOff>106680</xdr:rowOff>
    </xdr:from>
    <xdr:to>
      <xdr:col>16</xdr:col>
      <xdr:colOff>426720</xdr:colOff>
      <xdr:row>20</xdr:row>
      <xdr:rowOff>106680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5"/>
  <sheetViews>
    <sheetView topLeftCell="A4" workbookViewId="0">
      <selection activeCell="F31" sqref="F31"/>
    </sheetView>
  </sheetViews>
  <sheetFormatPr baseColWidth="10" defaultRowHeight="14.4"/>
  <sheetData>
    <row r="1" spans="1:18" ht="21">
      <c r="A1" s="2" t="s">
        <v>0</v>
      </c>
      <c r="N1" s="19" t="s">
        <v>33</v>
      </c>
      <c r="O1" s="20"/>
      <c r="P1" s="20"/>
      <c r="Q1" s="20"/>
      <c r="R1" s="21"/>
    </row>
    <row r="2" spans="1:18">
      <c r="A2" s="1" t="s">
        <v>1</v>
      </c>
      <c r="E2" t="s">
        <v>5</v>
      </c>
      <c r="L2" s="7"/>
      <c r="N2" s="22" t="s">
        <v>34</v>
      </c>
      <c r="O2" s="23"/>
      <c r="P2" s="23"/>
      <c r="Q2" s="23"/>
      <c r="R2" s="24"/>
    </row>
    <row r="3" spans="1:18">
      <c r="N3" s="25" t="s">
        <v>35</v>
      </c>
      <c r="O3" s="26"/>
      <c r="P3" s="26"/>
      <c r="Q3" s="26"/>
      <c r="R3" s="27"/>
    </row>
    <row r="4" spans="1:18">
      <c r="Q4" s="7"/>
    </row>
    <row r="5" spans="1:18">
      <c r="A5" s="4" t="s">
        <v>3</v>
      </c>
      <c r="B5" s="4" t="s">
        <v>2</v>
      </c>
      <c r="D5" s="5" t="s">
        <v>4</v>
      </c>
      <c r="E5" s="5" t="s">
        <v>2</v>
      </c>
      <c r="O5" s="6" t="s">
        <v>6</v>
      </c>
      <c r="P5" s="6" t="s">
        <v>2</v>
      </c>
    </row>
    <row r="6" spans="1:18">
      <c r="A6" s="3">
        <v>100</v>
      </c>
      <c r="B6" s="3">
        <v>86.4</v>
      </c>
      <c r="C6" s="3"/>
      <c r="D6" s="3">
        <v>100</v>
      </c>
      <c r="E6" s="3">
        <v>87.7</v>
      </c>
      <c r="O6" s="3">
        <v>100</v>
      </c>
      <c r="P6">
        <f>94</f>
        <v>94</v>
      </c>
    </row>
    <row r="7" spans="1:18">
      <c r="A7" s="3">
        <v>200</v>
      </c>
      <c r="B7" s="3">
        <v>88.1</v>
      </c>
      <c r="C7" s="3"/>
      <c r="D7" s="3">
        <v>200</v>
      </c>
      <c r="E7" s="3">
        <v>88.8</v>
      </c>
      <c r="O7" s="3">
        <v>200</v>
      </c>
      <c r="P7">
        <f>94</f>
        <v>94</v>
      </c>
    </row>
    <row r="8" spans="1:18">
      <c r="A8" s="3">
        <v>500</v>
      </c>
      <c r="B8" s="3">
        <v>95.7</v>
      </c>
      <c r="C8" s="3"/>
      <c r="D8" s="3">
        <v>500</v>
      </c>
      <c r="E8" s="3">
        <v>94.6</v>
      </c>
      <c r="O8" s="3">
        <v>500</v>
      </c>
      <c r="P8">
        <f>94</f>
        <v>94</v>
      </c>
    </row>
    <row r="9" spans="1:18">
      <c r="A9" s="3">
        <v>750</v>
      </c>
      <c r="B9" s="3">
        <v>95</v>
      </c>
      <c r="C9" s="3"/>
      <c r="D9" s="3">
        <v>750</v>
      </c>
      <c r="E9" s="3">
        <v>93.5</v>
      </c>
      <c r="O9" s="3">
        <v>750</v>
      </c>
      <c r="P9">
        <f>94</f>
        <v>94</v>
      </c>
    </row>
    <row r="10" spans="1:18">
      <c r="A10" s="3">
        <v>1000</v>
      </c>
      <c r="B10" s="3">
        <v>94.5</v>
      </c>
      <c r="C10" s="3"/>
      <c r="D10" s="3">
        <v>1000</v>
      </c>
      <c r="E10" s="3">
        <v>94.6</v>
      </c>
      <c r="O10" s="3">
        <v>1000</v>
      </c>
      <c r="P10">
        <f>94</f>
        <v>94</v>
      </c>
    </row>
    <row r="11" spans="1:18">
      <c r="A11" s="3">
        <v>1500</v>
      </c>
      <c r="B11" s="3">
        <v>94.8</v>
      </c>
      <c r="C11" s="3"/>
      <c r="D11" s="3">
        <v>1500</v>
      </c>
      <c r="E11" s="3">
        <v>95.8</v>
      </c>
      <c r="O11" s="3">
        <v>1500</v>
      </c>
      <c r="P11">
        <f>94</f>
        <v>94</v>
      </c>
    </row>
    <row r="12" spans="1:18">
      <c r="A12" s="3">
        <v>2000</v>
      </c>
      <c r="B12" s="3">
        <v>99</v>
      </c>
      <c r="C12" s="3"/>
      <c r="D12" s="3">
        <v>2000</v>
      </c>
      <c r="E12" s="3">
        <v>100.1</v>
      </c>
      <c r="O12" s="3">
        <v>2000</v>
      </c>
      <c r="P12">
        <f>94</f>
        <v>94</v>
      </c>
    </row>
    <row r="13" spans="1:18">
      <c r="A13" s="3">
        <v>3000</v>
      </c>
      <c r="B13" s="3">
        <v>94.3</v>
      </c>
      <c r="C13" s="3"/>
      <c r="D13" s="3">
        <v>3000</v>
      </c>
      <c r="E13" s="3">
        <v>94</v>
      </c>
      <c r="O13" s="3">
        <v>3000</v>
      </c>
      <c r="P13">
        <f>94</f>
        <v>94</v>
      </c>
    </row>
    <row r="14" spans="1:18">
      <c r="A14" s="3">
        <v>4000</v>
      </c>
      <c r="B14" s="3">
        <v>90.3</v>
      </c>
      <c r="C14" s="3"/>
      <c r="D14" s="3">
        <v>4000</v>
      </c>
      <c r="E14" s="3">
        <v>91.2</v>
      </c>
      <c r="O14" s="3">
        <v>4000</v>
      </c>
      <c r="P14">
        <f>94</f>
        <v>94</v>
      </c>
    </row>
    <row r="15" spans="1:18">
      <c r="A15" s="3">
        <v>5000</v>
      </c>
      <c r="B15" s="3">
        <v>90.9</v>
      </c>
      <c r="C15" s="3"/>
      <c r="D15" s="3">
        <v>5000</v>
      </c>
      <c r="E15" s="3">
        <v>92.3</v>
      </c>
      <c r="O15" s="3">
        <v>5000</v>
      </c>
      <c r="P15">
        <f>94</f>
        <v>94</v>
      </c>
    </row>
    <row r="16" spans="1:18">
      <c r="A16" s="3">
        <v>6000</v>
      </c>
      <c r="B16" s="3">
        <v>92.8</v>
      </c>
      <c r="C16" s="3"/>
      <c r="D16" s="3">
        <v>6000</v>
      </c>
      <c r="E16" s="3">
        <v>92.2</v>
      </c>
      <c r="O16" s="3">
        <v>6000</v>
      </c>
      <c r="P16">
        <f>94</f>
        <v>94</v>
      </c>
    </row>
    <row r="17" spans="1:16">
      <c r="A17" s="3">
        <v>7000</v>
      </c>
      <c r="B17" s="3">
        <v>87.3</v>
      </c>
      <c r="C17" s="3"/>
      <c r="D17" s="3">
        <v>7000</v>
      </c>
      <c r="E17" s="3">
        <v>87</v>
      </c>
      <c r="O17" s="3">
        <v>7000</v>
      </c>
      <c r="P17">
        <f>94</f>
        <v>94</v>
      </c>
    </row>
    <row r="18" spans="1:16">
      <c r="A18" s="3">
        <v>8000</v>
      </c>
      <c r="B18" s="3">
        <v>89.8</v>
      </c>
      <c r="C18" s="3"/>
      <c r="D18" s="3">
        <v>8000</v>
      </c>
      <c r="E18" s="3">
        <v>87.2</v>
      </c>
      <c r="O18" s="3">
        <v>8000</v>
      </c>
      <c r="P18">
        <f>94</f>
        <v>94</v>
      </c>
    </row>
    <row r="19" spans="1:16">
      <c r="A19" s="3">
        <v>9000</v>
      </c>
      <c r="B19" s="3">
        <v>88.8</v>
      </c>
      <c r="C19" s="3"/>
      <c r="D19" s="3">
        <v>9000</v>
      </c>
      <c r="E19" s="3">
        <v>88.6</v>
      </c>
      <c r="O19" s="3">
        <v>9000</v>
      </c>
      <c r="P19">
        <f>94</f>
        <v>94</v>
      </c>
    </row>
    <row r="20" spans="1:16">
      <c r="A20" s="3">
        <v>10000</v>
      </c>
      <c r="B20" s="3">
        <v>86.2</v>
      </c>
      <c r="C20" s="3"/>
      <c r="D20" s="3">
        <v>10000</v>
      </c>
      <c r="E20" s="3">
        <v>85.6</v>
      </c>
      <c r="O20" s="3">
        <v>10000</v>
      </c>
      <c r="P20">
        <f>94</f>
        <v>94</v>
      </c>
    </row>
    <row r="21" spans="1:16">
      <c r="A21" s="3">
        <v>11000</v>
      </c>
      <c r="B21" s="3">
        <v>79.099999999999994</v>
      </c>
      <c r="C21" s="3"/>
      <c r="D21" s="3">
        <v>11000</v>
      </c>
      <c r="E21" s="3">
        <v>81.099999999999994</v>
      </c>
      <c r="O21" s="3">
        <v>11000</v>
      </c>
      <c r="P21">
        <f>94</f>
        <v>94</v>
      </c>
    </row>
    <row r="22" spans="1:16">
      <c r="A22" s="3">
        <v>12000</v>
      </c>
      <c r="B22" s="3">
        <v>78.8</v>
      </c>
      <c r="C22" s="3"/>
      <c r="D22" s="3">
        <v>12000</v>
      </c>
      <c r="E22" s="3">
        <v>83.9</v>
      </c>
      <c r="O22" s="3">
        <v>12000</v>
      </c>
      <c r="P22">
        <f>94</f>
        <v>94</v>
      </c>
    </row>
    <row r="25" spans="1:16">
      <c r="B25" t="s">
        <v>7</v>
      </c>
    </row>
    <row r="26" spans="1:16">
      <c r="B26" t="s">
        <v>11</v>
      </c>
      <c r="G26" s="7"/>
      <c r="M26" s="7"/>
    </row>
    <row r="28" spans="1:16">
      <c r="A28" s="8"/>
      <c r="B28" t="s">
        <v>8</v>
      </c>
      <c r="C28" s="9"/>
    </row>
    <row r="29" spans="1:16">
      <c r="A29" s="8"/>
      <c r="B29" t="s">
        <v>9</v>
      </c>
    </row>
    <row r="30" spans="1:16">
      <c r="A30" s="8"/>
      <c r="B30" t="s">
        <v>10</v>
      </c>
    </row>
    <row r="32" spans="1:16">
      <c r="B32" s="1" t="s">
        <v>15</v>
      </c>
      <c r="F32" t="s">
        <v>16</v>
      </c>
    </row>
    <row r="33" spans="1:3">
      <c r="B33" t="s">
        <v>12</v>
      </c>
      <c r="C33" t="s">
        <v>13</v>
      </c>
    </row>
    <row r="34" spans="1:3">
      <c r="A34" t="s">
        <v>14</v>
      </c>
      <c r="B34">
        <v>20</v>
      </c>
      <c r="C34">
        <f>B34-(B10-94)</f>
        <v>19.5</v>
      </c>
    </row>
    <row r="35" spans="1:3">
      <c r="B35" s="9"/>
    </row>
  </sheetData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5"/>
  <sheetViews>
    <sheetView workbookViewId="0">
      <selection activeCell="A17" sqref="A17"/>
    </sheetView>
  </sheetViews>
  <sheetFormatPr baseColWidth="10" defaultRowHeight="14.4"/>
  <cols>
    <col min="3" max="3" width="13.5546875" customWidth="1"/>
  </cols>
  <sheetData>
    <row r="1" spans="1:13">
      <c r="A1" t="s">
        <v>31</v>
      </c>
      <c r="B1" t="s">
        <v>30</v>
      </c>
      <c r="C1" s="10" t="s">
        <v>27</v>
      </c>
      <c r="D1" t="s">
        <v>25</v>
      </c>
    </row>
    <row r="2" spans="1:13">
      <c r="D2" t="s">
        <v>26</v>
      </c>
    </row>
    <row r="3" spans="1:13">
      <c r="A3" s="14" t="s">
        <v>20</v>
      </c>
      <c r="B3" s="13">
        <v>0.01</v>
      </c>
    </row>
    <row r="5" spans="1:13">
      <c r="D5" s="11" t="s">
        <v>21</v>
      </c>
      <c r="E5" s="28" t="s">
        <v>22</v>
      </c>
      <c r="F5" s="28"/>
      <c r="H5" s="12" t="s">
        <v>24</v>
      </c>
      <c r="I5" s="12"/>
      <c r="J5" s="12"/>
      <c r="K5" s="12"/>
      <c r="M5" s="12" t="s">
        <v>17</v>
      </c>
    </row>
    <row r="6" spans="1:13">
      <c r="A6" s="15" t="s">
        <v>18</v>
      </c>
      <c r="B6" s="16">
        <v>7939</v>
      </c>
      <c r="D6">
        <f>B6*B3</f>
        <v>79.39</v>
      </c>
      <c r="E6">
        <f>B6+D6</f>
        <v>8018.39</v>
      </c>
      <c r="F6">
        <f>B6-D6</f>
        <v>7859.61</v>
      </c>
      <c r="H6" s="16" t="str">
        <f>IF(B6&gt;F9, "Dentro","Fuera")</f>
        <v>Dentro</v>
      </c>
      <c r="M6">
        <f>B6*2</f>
        <v>15878</v>
      </c>
    </row>
    <row r="8" spans="1:13">
      <c r="D8" s="11" t="s">
        <v>21</v>
      </c>
      <c r="E8" s="28" t="s">
        <v>22</v>
      </c>
      <c r="F8" s="28"/>
      <c r="H8" s="12" t="s">
        <v>23</v>
      </c>
      <c r="I8" s="12"/>
      <c r="J8" s="12"/>
      <c r="K8" s="12"/>
      <c r="M8" s="12" t="s">
        <v>17</v>
      </c>
    </row>
    <row r="9" spans="1:13">
      <c r="A9" s="15" t="s">
        <v>19</v>
      </c>
      <c r="B9" s="16">
        <v>8000</v>
      </c>
      <c r="D9">
        <f>B9*B3</f>
        <v>80</v>
      </c>
      <c r="E9">
        <f>B9+D6</f>
        <v>8079.39</v>
      </c>
      <c r="F9">
        <f>B9-D6</f>
        <v>7920.61</v>
      </c>
      <c r="H9" s="17" t="str">
        <f>IF(B9&lt;E6, "Dentro","Fuera")</f>
        <v>Dentro</v>
      </c>
      <c r="M9">
        <f>B9/2</f>
        <v>4000</v>
      </c>
    </row>
    <row r="13" spans="1:13">
      <c r="K13" s="7"/>
    </row>
    <row r="14" spans="1:13">
      <c r="A14" s="18" t="s">
        <v>32</v>
      </c>
      <c r="B14" s="12"/>
      <c r="C14" s="12"/>
      <c r="D14" s="12"/>
      <c r="E14" s="12"/>
      <c r="F14" s="12"/>
      <c r="G14" s="12"/>
    </row>
    <row r="15" spans="1:13">
      <c r="A15" t="s">
        <v>28</v>
      </c>
    </row>
    <row r="16" spans="1:13">
      <c r="A16" t="s">
        <v>29</v>
      </c>
      <c r="H16" s="1"/>
    </row>
    <row r="17" spans="1:11">
      <c r="A17" t="s">
        <v>36</v>
      </c>
    </row>
    <row r="25" spans="1:11">
      <c r="K25" s="7"/>
    </row>
  </sheetData>
  <mergeCells count="2">
    <mergeCell ref="E5:F5"/>
    <mergeCell ref="E8:F8"/>
  </mergeCells>
  <conditionalFormatting sqref="H6 H9">
    <cfRule type="cellIs" dxfId="1" priority="3" operator="equal">
      <formula>$A$1</formula>
    </cfRule>
    <cfRule type="cellIs" dxfId="0" priority="4" operator="equal">
      <formula>$B$1</formula>
    </cfRule>
  </conditionalFormatting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>
      <selection activeCell="F16" sqref="F16"/>
    </sheetView>
  </sheetViews>
  <sheetFormatPr baseColWidth="10" defaultRowHeight="14.4"/>
  <cols>
    <col min="4" max="4" width="11.77734375" customWidth="1"/>
  </cols>
  <sheetData>
    <row r="1" spans="1:9">
      <c r="A1" t="s">
        <v>37</v>
      </c>
    </row>
    <row r="2" spans="1:9">
      <c r="B2" s="29" t="s">
        <v>42</v>
      </c>
    </row>
    <row r="4" spans="1:9">
      <c r="B4" t="s">
        <v>38</v>
      </c>
      <c r="C4" t="s">
        <v>43</v>
      </c>
      <c r="D4" t="s">
        <v>39</v>
      </c>
      <c r="E4" t="s">
        <v>41</v>
      </c>
      <c r="F4" t="s">
        <v>40</v>
      </c>
      <c r="H4" s="30" t="s">
        <v>44</v>
      </c>
      <c r="I4" s="30" t="s">
        <v>45</v>
      </c>
    </row>
    <row r="5" spans="1:9">
      <c r="B5">
        <v>35</v>
      </c>
      <c r="C5">
        <f>SQRT(2)*10^(B5/20)</f>
        <v>79.527072876705077</v>
      </c>
      <c r="D5">
        <v>2</v>
      </c>
      <c r="E5">
        <f>SQRT(2)*10^(D5/20)</f>
        <v>1.7803893913754452</v>
      </c>
      <c r="F5">
        <f>20*LOG10((C5+E5)/SQRT(2))</f>
        <v>35.192308168802825</v>
      </c>
      <c r="H5">
        <v>0</v>
      </c>
      <c r="I5">
        <f>SQRT(2)*10^(H5/20)</f>
        <v>1.4142135623730951</v>
      </c>
    </row>
    <row r="6" spans="1:9">
      <c r="B6">
        <v>37</v>
      </c>
      <c r="C6">
        <f>SQRT(2)*10^(B6/20)</f>
        <v>100.11865297009078</v>
      </c>
      <c r="E6">
        <f>C5+E5</f>
        <v>81.307462268080528</v>
      </c>
      <c r="H6">
        <v>2</v>
      </c>
      <c r="I6">
        <f t="shared" ref="I6:I28" si="0">SQRT(2)*10^(H6/20)</f>
        <v>1.7803893913754452</v>
      </c>
    </row>
    <row r="7" spans="1:9">
      <c r="D7">
        <v>37</v>
      </c>
      <c r="H7">
        <f>H6+2</f>
        <v>4</v>
      </c>
      <c r="I7">
        <f t="shared" si="0"/>
        <v>2.2413774476912991</v>
      </c>
    </row>
    <row r="8" spans="1:9">
      <c r="E8">
        <f>20*LOG10(E6/C5)</f>
        <v>0.1923081688028298</v>
      </c>
      <c r="H8">
        <f t="shared" ref="H8:H28" si="1">H7+2</f>
        <v>6</v>
      </c>
      <c r="I8">
        <f t="shared" si="0"/>
        <v>2.8217270263209282</v>
      </c>
    </row>
    <row r="9" spans="1:9">
      <c r="C9">
        <f>20*LOG10(C6/C5)</f>
        <v>2.000000000000008</v>
      </c>
      <c r="H9">
        <f t="shared" si="1"/>
        <v>8</v>
      </c>
      <c r="I9">
        <f t="shared" si="0"/>
        <v>3.5523438585818057</v>
      </c>
    </row>
    <row r="10" spans="1:9">
      <c r="H10">
        <f t="shared" si="1"/>
        <v>10</v>
      </c>
      <c r="I10">
        <f t="shared" si="0"/>
        <v>4.4721359549995796</v>
      </c>
    </row>
    <row r="11" spans="1:9">
      <c r="H11">
        <f t="shared" si="1"/>
        <v>12</v>
      </c>
      <c r="I11">
        <f t="shared" si="0"/>
        <v>5.630085598747347</v>
      </c>
    </row>
    <row r="12" spans="1:9">
      <c r="H12">
        <f t="shared" si="1"/>
        <v>14</v>
      </c>
      <c r="I12">
        <f t="shared" si="0"/>
        <v>7.0878578308394147</v>
      </c>
    </row>
    <row r="13" spans="1:9">
      <c r="H13">
        <f t="shared" si="1"/>
        <v>16</v>
      </c>
      <c r="I13">
        <f t="shared" si="0"/>
        <v>8.9230843384280245</v>
      </c>
    </row>
    <row r="14" spans="1:9">
      <c r="H14">
        <f t="shared" si="1"/>
        <v>18</v>
      </c>
      <c r="I14">
        <f t="shared" si="0"/>
        <v>11.233497625229585</v>
      </c>
    </row>
    <row r="15" spans="1:9">
      <c r="H15">
        <f t="shared" si="1"/>
        <v>20</v>
      </c>
      <c r="I15">
        <f t="shared" si="0"/>
        <v>14.142135623730951</v>
      </c>
    </row>
    <row r="16" spans="1:9">
      <c r="H16">
        <f t="shared" si="1"/>
        <v>22</v>
      </c>
      <c r="I16">
        <f t="shared" si="0"/>
        <v>17.803893913754461</v>
      </c>
    </row>
    <row r="17" spans="8:9">
      <c r="H17">
        <f t="shared" si="1"/>
        <v>24</v>
      </c>
      <c r="I17">
        <f t="shared" si="0"/>
        <v>22.413774476912991</v>
      </c>
    </row>
    <row r="18" spans="8:9">
      <c r="H18">
        <f t="shared" si="1"/>
        <v>26</v>
      </c>
      <c r="I18">
        <f t="shared" si="0"/>
        <v>28.21727026320929</v>
      </c>
    </row>
    <row r="19" spans="8:9">
      <c r="H19">
        <f t="shared" si="1"/>
        <v>28</v>
      </c>
      <c r="I19">
        <f t="shared" si="0"/>
        <v>35.523438585818049</v>
      </c>
    </row>
    <row r="20" spans="8:9">
      <c r="H20">
        <f t="shared" si="1"/>
        <v>30</v>
      </c>
      <c r="I20">
        <f t="shared" si="0"/>
        <v>44.72135954999581</v>
      </c>
    </row>
    <row r="21" spans="8:9">
      <c r="H21">
        <f t="shared" si="1"/>
        <v>32</v>
      </c>
      <c r="I21">
        <f t="shared" si="0"/>
        <v>56.300855987473511</v>
      </c>
    </row>
    <row r="22" spans="8:9">
      <c r="H22">
        <f t="shared" si="1"/>
        <v>34</v>
      </c>
      <c r="I22">
        <f t="shared" si="0"/>
        <v>70.878578308394154</v>
      </c>
    </row>
    <row r="23" spans="8:9">
      <c r="H23">
        <f t="shared" si="1"/>
        <v>36</v>
      </c>
      <c r="I23">
        <f t="shared" si="0"/>
        <v>89.230843384280277</v>
      </c>
    </row>
    <row r="24" spans="8:9">
      <c r="H24">
        <f t="shared" si="1"/>
        <v>38</v>
      </c>
      <c r="I24">
        <f t="shared" si="0"/>
        <v>112.33497625229589</v>
      </c>
    </row>
    <row r="25" spans="8:9">
      <c r="H25">
        <f t="shared" si="1"/>
        <v>40</v>
      </c>
      <c r="I25">
        <f t="shared" si="0"/>
        <v>141.42135623730951</v>
      </c>
    </row>
    <row r="26" spans="8:9">
      <c r="H26">
        <f t="shared" si="1"/>
        <v>42</v>
      </c>
      <c r="I26">
        <f t="shared" si="0"/>
        <v>178.03893913754456</v>
      </c>
    </row>
    <row r="27" spans="8:9">
      <c r="H27">
        <f t="shared" si="1"/>
        <v>44</v>
      </c>
      <c r="I27">
        <f t="shared" si="0"/>
        <v>224.13774476913014</v>
      </c>
    </row>
    <row r="28" spans="8:9">
      <c r="H28">
        <f t="shared" si="1"/>
        <v>46</v>
      </c>
      <c r="I28">
        <f t="shared" si="0"/>
        <v>282.17270263209286</v>
      </c>
    </row>
  </sheetData>
  <pageMargins left="0.7" right="0.7" top="0.75" bottom="0.75" header="0.3" footer="0.3"/>
  <pageSetup paperSize="9" orientation="portrait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Calibrar</vt:lpstr>
      <vt:lpstr>Octabas</vt:lpstr>
      <vt:lpstr>dB mover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2025-05-08T08:58:30Z</dcterms:modified>
</cp:coreProperties>
</file>