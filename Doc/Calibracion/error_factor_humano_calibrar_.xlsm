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filterPrivacy="1" codeName="ThisWorkbook" defaultThemeVersion="124226"/>
  <bookViews>
    <workbookView xWindow="360" yWindow="300" windowWidth="14880" windowHeight="7812" activeTab="1"/>
  </bookViews>
  <sheets>
    <sheet name="Prueba01" sheetId="1" r:id="rId1"/>
    <sheet name="Prueba02" sheetId="3" r:id="rId2"/>
  </sheets>
  <functionGroups/>
  <definedNames>
    <definedName name="_xlnm._FilterDatabase" localSheetId="1" hidden="1">Prueba02!$B$18:$F$70</definedName>
  </definedNames>
  <calcPr calcId="124519"/>
</workbook>
</file>

<file path=xl/calcChain.xml><?xml version="1.0" encoding="utf-8"?>
<calcChain xmlns="http://schemas.openxmlformats.org/spreadsheetml/2006/main">
  <c r="V30" i="3"/>
  <c r="N8" i="1"/>
  <c r="N9"/>
  <c r="N10"/>
  <c r="N11"/>
  <c r="N12"/>
  <c r="N13"/>
  <c r="N14"/>
  <c r="N15"/>
  <c r="N16"/>
  <c r="N7"/>
  <c r="M7"/>
  <c r="I8"/>
  <c r="I9"/>
  <c r="I10"/>
  <c r="I11"/>
  <c r="I12"/>
  <c r="I13"/>
  <c r="I14"/>
  <c r="I15"/>
  <c r="I16"/>
  <c r="I7"/>
  <c r="J7"/>
  <c r="I23" i="3" l="1"/>
  <c r="I24"/>
  <c r="C38"/>
  <c r="J38" s="1"/>
  <c r="L38" s="1"/>
  <c r="E42"/>
  <c r="C42"/>
  <c r="N42" s="1"/>
  <c r="P42" s="1"/>
  <c r="E38"/>
  <c r="E34"/>
  <c r="C34"/>
  <c r="N34" s="1"/>
  <c r="P34" s="1"/>
  <c r="E30"/>
  <c r="C30"/>
  <c r="J30" s="1"/>
  <c r="K30" s="1"/>
  <c r="E26"/>
  <c r="C26"/>
  <c r="J26" s="1"/>
  <c r="L26" s="1"/>
  <c r="E22"/>
  <c r="C22"/>
  <c r="J22" s="1"/>
  <c r="L22" s="1"/>
  <c r="F30"/>
  <c r="F34"/>
  <c r="F38"/>
  <c r="F42"/>
  <c r="D42"/>
  <c r="D38"/>
  <c r="D34"/>
  <c r="D30"/>
  <c r="F26"/>
  <c r="D26"/>
  <c r="F22"/>
  <c r="D22"/>
  <c r="I35"/>
  <c r="J35"/>
  <c r="K35" s="1"/>
  <c r="N35"/>
  <c r="P35" s="1"/>
  <c r="R35"/>
  <c r="S35" s="1"/>
  <c r="V35"/>
  <c r="X35" s="1"/>
  <c r="I36"/>
  <c r="J36"/>
  <c r="L36" s="1"/>
  <c r="N36"/>
  <c r="P36" s="1"/>
  <c r="R36"/>
  <c r="S36" s="1"/>
  <c r="V36"/>
  <c r="X36" s="1"/>
  <c r="I37"/>
  <c r="J37"/>
  <c r="K37" s="1"/>
  <c r="N37"/>
  <c r="P37" s="1"/>
  <c r="R37"/>
  <c r="S37" s="1"/>
  <c r="V37"/>
  <c r="AC37" s="1"/>
  <c r="I39"/>
  <c r="J39"/>
  <c r="L39" s="1"/>
  <c r="N39"/>
  <c r="O39" s="1"/>
  <c r="R39"/>
  <c r="V39"/>
  <c r="W39" s="1"/>
  <c r="I40"/>
  <c r="J40"/>
  <c r="L40" s="1"/>
  <c r="N40"/>
  <c r="P40" s="1"/>
  <c r="R40"/>
  <c r="V40"/>
  <c r="X40" s="1"/>
  <c r="I41"/>
  <c r="J41"/>
  <c r="K41" s="1"/>
  <c r="N41"/>
  <c r="O41" s="1"/>
  <c r="R41"/>
  <c r="V41"/>
  <c r="AC41" s="1"/>
  <c r="V33"/>
  <c r="W33" s="1"/>
  <c r="R33"/>
  <c r="J33"/>
  <c r="K33" s="1"/>
  <c r="I33"/>
  <c r="V32"/>
  <c r="X32" s="1"/>
  <c r="R32"/>
  <c r="J32"/>
  <c r="K32" s="1"/>
  <c r="I32"/>
  <c r="V31"/>
  <c r="X31" s="1"/>
  <c r="R31"/>
  <c r="S31" s="1"/>
  <c r="J31"/>
  <c r="K31" s="1"/>
  <c r="I31"/>
  <c r="V29"/>
  <c r="AC29" s="1"/>
  <c r="R29"/>
  <c r="S29" s="1"/>
  <c r="J29"/>
  <c r="I29"/>
  <c r="V28"/>
  <c r="W28" s="1"/>
  <c r="R28"/>
  <c r="S28" s="1"/>
  <c r="J28"/>
  <c r="L28" s="1"/>
  <c r="I28"/>
  <c r="V27"/>
  <c r="AC27" s="1"/>
  <c r="R27"/>
  <c r="S27" s="1"/>
  <c r="J27"/>
  <c r="L27" s="1"/>
  <c r="I27"/>
  <c r="V25"/>
  <c r="AC25" s="1"/>
  <c r="R25"/>
  <c r="J25"/>
  <c r="K25" s="1"/>
  <c r="I25"/>
  <c r="V24"/>
  <c r="X24" s="1"/>
  <c r="R24"/>
  <c r="S24" s="1"/>
  <c r="J24"/>
  <c r="K24" s="1"/>
  <c r="V23"/>
  <c r="X23" s="1"/>
  <c r="R23"/>
  <c r="S23" s="1"/>
  <c r="J23"/>
  <c r="K23" s="1"/>
  <c r="V21"/>
  <c r="AC21" s="1"/>
  <c r="R21"/>
  <c r="S21" s="1"/>
  <c r="J21"/>
  <c r="K21" s="1"/>
  <c r="I21"/>
  <c r="V20"/>
  <c r="W20" s="1"/>
  <c r="R20"/>
  <c r="J20"/>
  <c r="L20" s="1"/>
  <c r="I20"/>
  <c r="V19"/>
  <c r="AC19" s="1"/>
  <c r="R19"/>
  <c r="S19" s="1"/>
  <c r="N19"/>
  <c r="O19" s="1"/>
  <c r="J19"/>
  <c r="L19" s="1"/>
  <c r="I19"/>
  <c r="N16"/>
  <c r="N33" s="1"/>
  <c r="G8" i="1"/>
  <c r="G9"/>
  <c r="G10"/>
  <c r="G11"/>
  <c r="G12"/>
  <c r="G13"/>
  <c r="G14"/>
  <c r="G15"/>
  <c r="G16"/>
  <c r="G7"/>
  <c r="K13"/>
  <c r="J13"/>
  <c r="L13" s="1"/>
  <c r="J14"/>
  <c r="K14" s="1"/>
  <c r="J15"/>
  <c r="L15" s="1"/>
  <c r="J16"/>
  <c r="K16" s="1"/>
  <c r="J10"/>
  <c r="K10" s="1"/>
  <c r="J11"/>
  <c r="K11" s="1"/>
  <c r="J12"/>
  <c r="K12" s="1"/>
  <c r="L8"/>
  <c r="L9"/>
  <c r="K8"/>
  <c r="K9"/>
  <c r="L11" l="1"/>
  <c r="M11" s="1"/>
  <c r="M8"/>
  <c r="L10"/>
  <c r="M10" s="1"/>
  <c r="M13"/>
  <c r="L12"/>
  <c r="M12" s="1"/>
  <c r="AB20" i="3"/>
  <c r="V38"/>
  <c r="X38" s="1"/>
  <c r="AA38" s="1"/>
  <c r="V42"/>
  <c r="X42" s="1"/>
  <c r="AA42" s="1"/>
  <c r="J42"/>
  <c r="K42" s="1"/>
  <c r="T40"/>
  <c r="U40" s="1"/>
  <c r="R38"/>
  <c r="T38" s="1"/>
  <c r="U38" s="1"/>
  <c r="AB25"/>
  <c r="AB33"/>
  <c r="X37"/>
  <c r="Y37" s="1"/>
  <c r="AB32"/>
  <c r="R34"/>
  <c r="S34" s="1"/>
  <c r="T33"/>
  <c r="Z33" s="1"/>
  <c r="O37"/>
  <c r="Q37" s="1"/>
  <c r="AB41"/>
  <c r="L41"/>
  <c r="M41" s="1"/>
  <c r="R42"/>
  <c r="S42" s="1"/>
  <c r="X27"/>
  <c r="AB40"/>
  <c r="AB23"/>
  <c r="AC36"/>
  <c r="AC28"/>
  <c r="AC20"/>
  <c r="AB24"/>
  <c r="AB35"/>
  <c r="AC39"/>
  <c r="AC31"/>
  <c r="AC23"/>
  <c r="I42"/>
  <c r="AB36"/>
  <c r="AB28"/>
  <c r="AB27"/>
  <c r="AC40"/>
  <c r="AC32"/>
  <c r="AC24"/>
  <c r="AB37"/>
  <c r="AB29"/>
  <c r="AC33"/>
  <c r="AB21"/>
  <c r="T39"/>
  <c r="Z39" s="1"/>
  <c r="AB19"/>
  <c r="AB39"/>
  <c r="AB31"/>
  <c r="AC35"/>
  <c r="R30"/>
  <c r="X29"/>
  <c r="AA29" s="1"/>
  <c r="I30"/>
  <c r="AC30"/>
  <c r="W37"/>
  <c r="I38"/>
  <c r="AC38"/>
  <c r="S40"/>
  <c r="S32"/>
  <c r="S20"/>
  <c r="V34"/>
  <c r="W34" s="1"/>
  <c r="S41"/>
  <c r="S33"/>
  <c r="T41"/>
  <c r="U41" s="1"/>
  <c r="O35"/>
  <c r="Q35" s="1"/>
  <c r="S39"/>
  <c r="S25"/>
  <c r="L24"/>
  <c r="M24" s="1"/>
  <c r="I26"/>
  <c r="T24"/>
  <c r="Z24" s="1"/>
  <c r="R26"/>
  <c r="AB26" s="1"/>
  <c r="V22"/>
  <c r="AC22" s="1"/>
  <c r="V26"/>
  <c r="L21"/>
  <c r="M21" s="1"/>
  <c r="T21"/>
  <c r="Z21" s="1"/>
  <c r="K20"/>
  <c r="M20" s="1"/>
  <c r="R22"/>
  <c r="I22"/>
  <c r="X21"/>
  <c r="AA21" s="1"/>
  <c r="X20"/>
  <c r="W38"/>
  <c r="N38"/>
  <c r="O38" s="1"/>
  <c r="I34"/>
  <c r="J34"/>
  <c r="K34" s="1"/>
  <c r="L30"/>
  <c r="M30" s="1"/>
  <c r="K22"/>
  <c r="M22" s="1"/>
  <c r="T29"/>
  <c r="Z29" s="1"/>
  <c r="X28"/>
  <c r="AA28" s="1"/>
  <c r="X41"/>
  <c r="AA41" s="1"/>
  <c r="K40"/>
  <c r="M40" s="1"/>
  <c r="T37"/>
  <c r="U37" s="1"/>
  <c r="W35"/>
  <c r="X33"/>
  <c r="Y33" s="1"/>
  <c r="P41"/>
  <c r="Q41" s="1"/>
  <c r="L37"/>
  <c r="M37" s="1"/>
  <c r="O36"/>
  <c r="Q36" s="1"/>
  <c r="T36"/>
  <c r="Z36" s="1"/>
  <c r="W36"/>
  <c r="W24"/>
  <c r="X25"/>
  <c r="Y25" s="1"/>
  <c r="W25"/>
  <c r="Y40"/>
  <c r="AA40"/>
  <c r="AA36"/>
  <c r="Y36"/>
  <c r="AA35"/>
  <c r="Y35"/>
  <c r="X39"/>
  <c r="P39"/>
  <c r="Q39" s="1"/>
  <c r="T35"/>
  <c r="L35"/>
  <c r="M35" s="1"/>
  <c r="W41"/>
  <c r="K39"/>
  <c r="M39" s="1"/>
  <c r="W40"/>
  <c r="O40"/>
  <c r="Q40" s="1"/>
  <c r="K36"/>
  <c r="M36" s="1"/>
  <c r="O42"/>
  <c r="Q42" s="1"/>
  <c r="K38"/>
  <c r="M38" s="1"/>
  <c r="O34"/>
  <c r="Q34" s="1"/>
  <c r="L32"/>
  <c r="M32" s="1"/>
  <c r="W32"/>
  <c r="T32"/>
  <c r="L33"/>
  <c r="M33" s="1"/>
  <c r="T25"/>
  <c r="Z25" s="1"/>
  <c r="K26"/>
  <c r="M26" s="1"/>
  <c r="L29"/>
  <c r="K29"/>
  <c r="L25"/>
  <c r="M25" s="1"/>
  <c r="K28"/>
  <c r="M28" s="1"/>
  <c r="AA24"/>
  <c r="Y24"/>
  <c r="O33"/>
  <c r="P33"/>
  <c r="Y31"/>
  <c r="AA31"/>
  <c r="AA32"/>
  <c r="Y32"/>
  <c r="Y23"/>
  <c r="AA23"/>
  <c r="K19"/>
  <c r="M19" s="1"/>
  <c r="N20"/>
  <c r="W23"/>
  <c r="K27"/>
  <c r="M27" s="1"/>
  <c r="N28"/>
  <c r="W31"/>
  <c r="N23"/>
  <c r="N31"/>
  <c r="T20"/>
  <c r="W21"/>
  <c r="N26"/>
  <c r="T28"/>
  <c r="W29"/>
  <c r="P19"/>
  <c r="Q19" s="1"/>
  <c r="X19"/>
  <c r="N21"/>
  <c r="L23"/>
  <c r="M23" s="1"/>
  <c r="T23"/>
  <c r="N29"/>
  <c r="L31"/>
  <c r="M31" s="1"/>
  <c r="T31"/>
  <c r="W19"/>
  <c r="N24"/>
  <c r="W27"/>
  <c r="N32"/>
  <c r="N27"/>
  <c r="N22"/>
  <c r="N30"/>
  <c r="T19"/>
  <c r="N25"/>
  <c r="T27"/>
  <c r="L16" i="1"/>
  <c r="M16" s="1"/>
  <c r="K15"/>
  <c r="M15" s="1"/>
  <c r="L14"/>
  <c r="M14" s="1"/>
  <c r="M9"/>
  <c r="Y42" i="3" l="1"/>
  <c r="U39"/>
  <c r="Y41"/>
  <c r="L42"/>
  <c r="M42" s="1"/>
  <c r="AC42"/>
  <c r="W42"/>
  <c r="T42"/>
  <c r="U42" s="1"/>
  <c r="U29"/>
  <c r="AA37"/>
  <c r="AB42"/>
  <c r="Z38"/>
  <c r="S38"/>
  <c r="AB38"/>
  <c r="Z40"/>
  <c r="Y28"/>
  <c r="AA33"/>
  <c r="U36"/>
  <c r="U33"/>
  <c r="AB34"/>
  <c r="W26"/>
  <c r="AC26"/>
  <c r="S30"/>
  <c r="AB30"/>
  <c r="S22"/>
  <c r="AB22"/>
  <c r="X34"/>
  <c r="AC34"/>
  <c r="T30"/>
  <c r="U30" s="1"/>
  <c r="Y29"/>
  <c r="X30"/>
  <c r="Y30" s="1"/>
  <c r="W30"/>
  <c r="Z41"/>
  <c r="Z37"/>
  <c r="AA25"/>
  <c r="U24"/>
  <c r="S26"/>
  <c r="X26"/>
  <c r="Y26" s="1"/>
  <c r="T26"/>
  <c r="U26" s="1"/>
  <c r="Y21"/>
  <c r="T22"/>
  <c r="Z22" s="1"/>
  <c r="U21"/>
  <c r="AA20"/>
  <c r="Y20"/>
  <c r="P38"/>
  <c r="Q38" s="1"/>
  <c r="L34"/>
  <c r="M34" s="1"/>
  <c r="T34"/>
  <c r="W22"/>
  <c r="X22"/>
  <c r="AA22" s="1"/>
  <c r="AA39"/>
  <c r="Y39"/>
  <c r="Z35"/>
  <c r="U35"/>
  <c r="Z32"/>
  <c r="U32"/>
  <c r="U25"/>
  <c r="M29"/>
  <c r="Y27"/>
  <c r="AA27"/>
  <c r="U27"/>
  <c r="Z27"/>
  <c r="Z31"/>
  <c r="U31"/>
  <c r="Y19"/>
  <c r="AA19"/>
  <c r="O20"/>
  <c r="P20"/>
  <c r="O24"/>
  <c r="P24"/>
  <c r="O21"/>
  <c r="P21"/>
  <c r="O26"/>
  <c r="P26"/>
  <c r="O32"/>
  <c r="P32"/>
  <c r="Z28"/>
  <c r="U28"/>
  <c r="O27"/>
  <c r="P27"/>
  <c r="O22"/>
  <c r="P22"/>
  <c r="P31"/>
  <c r="O31"/>
  <c r="Q33"/>
  <c r="Z23"/>
  <c r="U23"/>
  <c r="O30"/>
  <c r="P30"/>
  <c r="Z20"/>
  <c r="U20"/>
  <c r="U19"/>
  <c r="Z19"/>
  <c r="O29"/>
  <c r="P29"/>
  <c r="P23"/>
  <c r="O23"/>
  <c r="O25"/>
  <c r="P25"/>
  <c r="O28"/>
  <c r="P28"/>
  <c r="L7" i="1"/>
  <c r="K7"/>
  <c r="J9"/>
  <c r="J8"/>
  <c r="Z42" i="3" l="1"/>
  <c r="Y38"/>
  <c r="AA34"/>
  <c r="Y34"/>
  <c r="Z30"/>
  <c r="AA30"/>
  <c r="Q24"/>
  <c r="Z26"/>
  <c r="AA26"/>
  <c r="Q23"/>
  <c r="U22"/>
  <c r="Y22"/>
  <c r="U34"/>
  <c r="Z34"/>
  <c r="Q22"/>
  <c r="Q25"/>
  <c r="Q32"/>
  <c r="Q28"/>
  <c r="Q29"/>
  <c r="Q30"/>
  <c r="Q31"/>
  <c r="Q27"/>
  <c r="Q26"/>
  <c r="Q20"/>
  <c r="Q21"/>
</calcChain>
</file>

<file path=xl/sharedStrings.xml><?xml version="1.0" encoding="utf-8"?>
<sst xmlns="http://schemas.openxmlformats.org/spreadsheetml/2006/main" count="120" uniqueCount="91">
  <si>
    <t>dB real</t>
  </si>
  <si>
    <t>dB simulada</t>
  </si>
  <si>
    <t>Error sonoro</t>
  </si>
  <si>
    <t>Ancho banda</t>
  </si>
  <si>
    <t>Datos representacion</t>
  </si>
  <si>
    <t>Errores</t>
  </si>
  <si>
    <t>Error por la forma de medida, dado por un sexto de octava</t>
  </si>
  <si>
    <t>Error por lal ando de banda de los filtros de cada frecuencia, a menor frecuencia mayor ancho</t>
  </si>
  <si>
    <t>Error humano</t>
  </si>
  <si>
    <t>Error de aparatos, +- 1 dB</t>
  </si>
  <si>
    <t>Error por la forma de medida 2 dB</t>
  </si>
  <si>
    <t>Errores freq</t>
  </si>
  <si>
    <t>Errores nivel</t>
  </si>
  <si>
    <t>Prueba contralateral con el tinnitus en el oido IZQUIERDO</t>
  </si>
  <si>
    <t>Valor fijo de intensidad sonora en la primera parte de la medida de frecuencia a 35 dB</t>
  </si>
  <si>
    <t>Error de que se escuche igual, 1/100 de octava</t>
  </si>
  <si>
    <t>Error de distorsion / enmascaramiento</t>
  </si>
  <si>
    <t>Excell para determinar si las medidas de la prueba 3: Acufenometría simulada, son válidas</t>
  </si>
  <si>
    <t>Para ello se propone el error dado por la forma de recorrer las frecuencias y el nivel sonoro; el de los aparatos de medida; y el error humano.</t>
  </si>
  <si>
    <t>Datos recogidos de la tercera prueba</t>
  </si>
  <si>
    <t>Frecuencia real del acufeno</t>
  </si>
  <si>
    <t>Frecuencia del acufeno medido</t>
  </si>
  <si>
    <t>Nivel sonoro dBSPL real</t>
  </si>
  <si>
    <t>Nivel sonoro dBSPL medido</t>
  </si>
  <si>
    <r>
      <t xml:space="preserve">1.- ERRORES_01: Error en </t>
    </r>
    <r>
      <rPr>
        <b/>
        <sz val="11"/>
        <color theme="1"/>
        <rFont val="Calibri"/>
        <family val="2"/>
        <scheme val="minor"/>
      </rPr>
      <t>FRECUENCIAS</t>
    </r>
    <r>
      <rPr>
        <sz val="11"/>
        <color theme="1"/>
        <rFont val="Calibri"/>
        <family val="2"/>
        <scheme val="minor"/>
      </rPr>
      <t xml:space="preserve"> dado por la forma de recorrer las series (1/6-octava)</t>
    </r>
  </si>
  <si>
    <r>
      <t xml:space="preserve">2.- ERRORES_02: Errror en el </t>
    </r>
    <r>
      <rPr>
        <b/>
        <sz val="11"/>
        <color theme="1"/>
        <rFont val="Calibri"/>
        <family val="2"/>
        <scheme val="minor"/>
      </rPr>
      <t>NIVEL SONORO dBSPL</t>
    </r>
    <r>
      <rPr>
        <sz val="11"/>
        <color theme="1"/>
        <rFont val="Calibri"/>
        <family val="2"/>
        <scheme val="minor"/>
      </rPr>
      <t xml:space="preserve"> dado por errores en los aparatos (</t>
    </r>
    <r>
      <rPr>
        <sz val="11"/>
        <color theme="1"/>
        <rFont val="Calibri"/>
        <family val="2"/>
      </rPr>
      <t>±1 dBSPL) y en la forma de medir (±2 dBSPL) (aunque en realidad no deberia tener error pues se puede ajustar)</t>
    </r>
  </si>
  <si>
    <r>
      <t xml:space="preserve">3.- ERRORES_03: Error en </t>
    </r>
    <r>
      <rPr>
        <b/>
        <sz val="11"/>
        <color theme="1"/>
        <rFont val="Calibri"/>
        <family val="2"/>
        <scheme val="minor"/>
      </rPr>
      <t>FRECUENCIA</t>
    </r>
    <r>
      <rPr>
        <sz val="11"/>
        <color theme="1"/>
        <rFont val="Calibri"/>
        <family val="2"/>
        <scheme val="minor"/>
      </rPr>
      <t xml:space="preserve"> dado por el ancho de banda de los filtros, no se pueden diferenciar dos frecuencias (1/100-octava)</t>
    </r>
  </si>
  <si>
    <r>
      <t xml:space="preserve">4.- ERRORES_04: Error humano tanto en </t>
    </r>
    <r>
      <rPr>
        <b/>
        <sz val="11"/>
        <color theme="1"/>
        <rFont val="Calibri"/>
        <family val="2"/>
        <scheme val="minor"/>
      </rPr>
      <t>FRECUENCIAS</t>
    </r>
    <r>
      <rPr>
        <sz val="11"/>
        <color theme="1"/>
        <rFont val="Calibri"/>
        <family val="2"/>
        <scheme val="minor"/>
      </rPr>
      <t xml:space="preserve"> como en el </t>
    </r>
    <r>
      <rPr>
        <b/>
        <sz val="11"/>
        <color theme="1"/>
        <rFont val="Calibri"/>
        <family val="2"/>
        <scheme val="minor"/>
      </rPr>
      <t>NIVEL SONORO dBSPL</t>
    </r>
  </si>
  <si>
    <t>ERRORES_01</t>
  </si>
  <si>
    <t>ERRORES_02</t>
  </si>
  <si>
    <t>Se acepta o no el error</t>
  </si>
  <si>
    <t>ERRORES_03</t>
  </si>
  <si>
    <t>ERRORES_04</t>
  </si>
  <si>
    <t>Error tonal/6</t>
  </si>
  <si>
    <t>Error tonal/100</t>
  </si>
  <si>
    <t>Error de ancho de banda</t>
  </si>
  <si>
    <t>Error humano frecuencias</t>
  </si>
  <si>
    <t>Error humano nivel sonoro</t>
  </si>
  <si>
    <t>Se acepta en frecuencia</t>
  </si>
  <si>
    <t>Se acepta en nivel sonoro</t>
  </si>
  <si>
    <t>ACEPTACION TOTAL</t>
  </si>
  <si>
    <t>En frecuencia</t>
  </si>
  <si>
    <t>En nivel sonoro</t>
  </si>
  <si>
    <t>Resta de frecuencias</t>
  </si>
  <si>
    <t>Enmascaramiento tonal</t>
  </si>
  <si>
    <t>Error humano significativo o no</t>
  </si>
  <si>
    <t>Resta nivel sonoro</t>
  </si>
  <si>
    <t>Percepcion del ruido al mismo nivel (sonoridad)</t>
  </si>
  <si>
    <t>Si se percibe por debajo (30) equivale a un tinnitus medido de (25), al mismo nivel (30) y (30), se percibira por encima</t>
  </si>
  <si>
    <t>Se van a aceptar los errores sonoros por debajo de un cierto valor</t>
  </si>
  <si>
    <t>Valor de aceptacion sonoro</t>
  </si>
  <si>
    <t>Valor de aceptacion tonal</t>
  </si>
  <si>
    <t>Pero este valor dependera de la frecuencia, luego dependera si es HF o LF</t>
  </si>
  <si>
    <t>Promedio</t>
  </si>
  <si>
    <t>A altas frecuencias hay mas variacion de frecuencia y con ello da error en la variacion sonora</t>
  </si>
  <si>
    <t>Medida a ojo</t>
  </si>
  <si>
    <t>Medida con el tuk</t>
  </si>
  <si>
    <t>Medida con tuk y mirando cada odio</t>
  </si>
  <si>
    <t>Se ha visto que  para altas frecuencias se da una mayor variacion en la medida real y simulada del nivel sonoro</t>
  </si>
  <si>
    <t>Por lo general cuando tenemos que la frecuencia del tinnitus es mas aguda que la medida, el valor de la medida sonora, se ajusta mejor al real para altas frecuencias, para bajas frecuencias es al resves</t>
  </si>
  <si>
    <t>El error de las frecuencias no suele sobrepasar al error metodico dado por un 1/6-octava</t>
  </si>
  <si>
    <t>El error sonoro sobrepasa de forma general al valor metodico del error sonoro (2 dB)</t>
  </si>
  <si>
    <t>COMENTARIOS</t>
  </si>
  <si>
    <t>aceptado error sonoro (5 dB como maximo)</t>
  </si>
  <si>
    <t>Error sonoro metodico</t>
  </si>
  <si>
    <t>Frecuencia real</t>
  </si>
  <si>
    <t>Frecuencia simulada</t>
  </si>
  <si>
    <t>Error sonoro total</t>
  </si>
  <si>
    <t>Error tonal metodico</t>
  </si>
  <si>
    <t>Ancho banda tomado del error metodico tonal</t>
  </si>
  <si>
    <t>Error tonal total</t>
  </si>
  <si>
    <t>Si es negatico entonces el tinnitus es mas grave</t>
  </si>
  <si>
    <t>Acepto medida parte tonal</t>
  </si>
  <si>
    <t>Acepto medida parte sonora</t>
  </si>
  <si>
    <t>GRAFICAS</t>
  </si>
  <si>
    <t>OBSERVACIONES DEL EXPERIMENTO</t>
  </si>
  <si>
    <t>VIAS A SEGUIR</t>
  </si>
  <si>
    <t>Se propuso estudiar el programa, por si se estuviera dando mal los datos, o el sonido estuviera disminuyendo en cada iteracion respecto al sonido que se mostraba en pantalla.</t>
  </si>
  <si>
    <t>Sin embargo, se vio que los valores numericos eras iguales. Por tanto se penso si los cascos estucieran defectuosos, o los aparatos usados, pero se descarto esta idea pues tras</t>
  </si>
  <si>
    <t>realizar la prueba y variar de oido se observo que la percepcion era la misma.</t>
  </si>
  <si>
    <t xml:space="preserve">Finalmente, se planteo si el origen de la discrepancia se debiera al error introducido en la medicion de las frecuenicas, pues este error esta relacionado con el sonoro, y dado que </t>
  </si>
  <si>
    <t>solo se mostraba a altas frecuencias la disminucion notable del nivel sonoro en la medida, se concuerda con el aumento del error frecuencial a mayor tono debido al ancho de banda.</t>
  </si>
  <si>
    <r>
      <t>Se planteo realizar las medidas de nuevo haciendo promedio de tres pruebas consecutivas para un mismo acufeno (</t>
    </r>
    <r>
      <rPr>
        <b/>
        <sz val="11"/>
        <color theme="1"/>
        <rFont val="Calibri"/>
        <family val="2"/>
        <scheme val="minor"/>
      </rPr>
      <t>Ver hoja de calculo Prueba02</t>
    </r>
    <r>
      <rPr>
        <sz val="11"/>
        <color theme="1"/>
        <rFont val="Calibri"/>
        <family val="2"/>
        <scheme val="minor"/>
      </rPr>
      <t>).</t>
    </r>
  </si>
  <si>
    <t>OBSERVACIONES</t>
  </si>
  <si>
    <t>Dado que se deba un error en la medida de nivel sonoro, se propone realizar la prueba de nuevo pero haciendo promedio de tres medidas.</t>
  </si>
  <si>
    <t xml:space="preserve">Donde la primera medida para la determinacion del nivel sonoro se basaba en la percepcion de que ambos sonidos fueran igual de intensos; la segunda medida se hacia mediante el uso </t>
  </si>
  <si>
    <t>del sonido "tuk" que se escuchaba (este se debe a la finalizacion del frame, no se escuha un paro en el sonido, pero si un ligero "tuk". Sim embargo, este solo es perceptible a altas frecuencias</t>
  </si>
  <si>
    <t xml:space="preserve">y a altos niveles de intensidad. Como se escucha por ambos oidos, dependiendo de la intensidad y la frecuencia de cada sonido (haciendo la prueba siempre contralateral), se escuchaba de un lado, de otro, </t>
  </si>
  <si>
    <t>o en el medio de la cabeza. Luego, si las frecuencias eran lo suficientemente parecias y el nivel sonoro tambien, el "tuk" se escuchaba en el centro (para valores mas agudos y mas intensos del sonido el "tuk"</t>
  </si>
  <si>
    <t>se iba hacia el odio que presentaba esas caractesisticas). Y por ultimo, la ultima medida se hace teniendo en cuenta el "tuk" y variando los cascos de oido (para evitar la fatiga de este durante la prueba).</t>
  </si>
  <si>
    <t>Se ha visto que haciendo el promedio, los valores del error total sonoro disminuyen, hasta obtener maximo 6 dB SPL, luego se reduce el error sonoro mediante el uso de promedios</t>
  </si>
</sst>
</file>

<file path=xl/styles.xml><?xml version="1.0" encoding="utf-8"?>
<styleSheet xmlns="http://schemas.openxmlformats.org/spreadsheetml/2006/main">
  <fonts count="23">
    <font>
      <sz val="11"/>
      <color theme="1"/>
      <name val="Calibri"/>
      <family val="2"/>
      <scheme val="minor"/>
    </font>
    <font>
      <b/>
      <sz val="11"/>
      <color theme="1"/>
      <name val="Calibri"/>
      <family val="2"/>
      <scheme val="minor"/>
    </font>
    <font>
      <sz val="11"/>
      <color rgb="FF7030A0"/>
      <name val="Calibri"/>
      <family val="2"/>
      <scheme val="minor"/>
    </font>
    <font>
      <b/>
      <sz val="11"/>
      <color theme="0"/>
      <name val="Calibri"/>
      <family val="2"/>
      <scheme val="minor"/>
    </font>
    <font>
      <sz val="11"/>
      <color rgb="FFFF0000"/>
      <name val="Calibri"/>
      <family val="2"/>
      <scheme val="minor"/>
    </font>
    <font>
      <sz val="11"/>
      <name val="Calibri"/>
      <family val="2"/>
      <scheme val="minor"/>
    </font>
    <font>
      <sz val="11"/>
      <color rgb="FF92D050"/>
      <name val="Calibri"/>
      <family val="2"/>
      <scheme val="minor"/>
    </font>
    <font>
      <sz val="10"/>
      <color rgb="FF92D050"/>
      <name val="Consolas"/>
      <family val="3"/>
    </font>
    <font>
      <sz val="10"/>
      <color theme="9" tint="-0.249977111117893"/>
      <name val="Consolas"/>
      <family val="3"/>
    </font>
    <font>
      <b/>
      <sz val="16"/>
      <color rgb="FF7030A0"/>
      <name val="Calibri"/>
      <family val="2"/>
      <scheme val="minor"/>
    </font>
    <font>
      <sz val="11"/>
      <color theme="1"/>
      <name val="Calibri"/>
      <family val="2"/>
    </font>
    <font>
      <b/>
      <sz val="11"/>
      <name val="Calibri"/>
      <family val="2"/>
      <scheme val="minor"/>
    </font>
    <font>
      <b/>
      <sz val="11"/>
      <color rgb="FFFF0000"/>
      <name val="Calibri"/>
      <family val="2"/>
      <scheme val="minor"/>
    </font>
    <font>
      <b/>
      <sz val="11"/>
      <color rgb="FF92D050"/>
      <name val="Calibri"/>
      <family val="2"/>
      <scheme val="minor"/>
    </font>
    <font>
      <sz val="9"/>
      <color theme="1"/>
      <name val="Calibri"/>
      <family val="2"/>
      <scheme val="minor"/>
    </font>
    <font>
      <sz val="8"/>
      <color theme="1"/>
      <name val="Calibri"/>
      <family val="2"/>
      <scheme val="minor"/>
    </font>
    <font>
      <sz val="11"/>
      <color theme="0" tint="-0.499984740745262"/>
      <name val="Calibri"/>
      <family val="2"/>
      <scheme val="minor"/>
    </font>
    <font>
      <sz val="8"/>
      <color theme="9" tint="-0.249977111117893"/>
      <name val="Calibri"/>
      <family val="2"/>
      <scheme val="minor"/>
    </font>
    <font>
      <b/>
      <sz val="11"/>
      <color rgb="FF7030A0"/>
      <name val="Calibri"/>
      <family val="2"/>
      <scheme val="minor"/>
    </font>
    <font>
      <b/>
      <sz val="11"/>
      <color rgb="FF0070C0"/>
      <name val="Calibri"/>
      <family val="2"/>
      <scheme val="minor"/>
    </font>
    <font>
      <sz val="11"/>
      <color rgb="FF0070C0"/>
      <name val="Calibri"/>
      <family val="2"/>
      <scheme val="minor"/>
    </font>
    <font>
      <b/>
      <sz val="12"/>
      <color rgb="FF0070C0"/>
      <name val="Calibri"/>
      <family val="2"/>
      <scheme val="minor"/>
    </font>
    <font>
      <b/>
      <sz val="14"/>
      <color rgb="FF7030A0"/>
      <name val="Calibri"/>
      <family val="2"/>
      <scheme val="minor"/>
    </font>
  </fonts>
  <fills count="10">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4" tint="0.59999389629810485"/>
        <bgColor indexed="64"/>
      </patternFill>
    </fill>
  </fills>
  <borders count="15">
    <border>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s>
  <cellStyleXfs count="1">
    <xf numFmtId="0" fontId="0" fillId="0" borderId="0"/>
  </cellStyleXfs>
  <cellXfs count="96">
    <xf numFmtId="0" fontId="0" fillId="0" borderId="0" xfId="0"/>
    <xf numFmtId="0" fontId="1" fillId="0" borderId="0" xfId="0" applyFont="1"/>
    <xf numFmtId="0" fontId="2" fillId="0" borderId="0" xfId="0" applyFont="1"/>
    <xf numFmtId="0" fontId="6" fillId="0" borderId="0" xfId="0" applyFont="1"/>
    <xf numFmtId="0" fontId="7" fillId="0" borderId="0" xfId="0" applyFont="1" applyAlignment="1">
      <alignment horizontal="left" indent="2"/>
    </xf>
    <xf numFmtId="0" fontId="8" fillId="0" borderId="0" xfId="0" applyFont="1" applyAlignment="1">
      <alignment horizontal="left" indent="2"/>
    </xf>
    <xf numFmtId="0" fontId="2" fillId="3" borderId="0" xfId="0" applyFont="1" applyFill="1"/>
    <xf numFmtId="0" fontId="0" fillId="3" borderId="0" xfId="0" applyFill="1"/>
    <xf numFmtId="0" fontId="6" fillId="3" borderId="0" xfId="0" applyFont="1" applyFill="1"/>
    <xf numFmtId="0" fontId="8" fillId="3" borderId="0" xfId="0" applyFont="1" applyFill="1" applyAlignment="1">
      <alignment horizontal="left" indent="2"/>
    </xf>
    <xf numFmtId="0" fontId="9" fillId="3" borderId="0" xfId="0" applyFont="1" applyFill="1"/>
    <xf numFmtId="0" fontId="0" fillId="4" borderId="1" xfId="0" applyFill="1" applyBorder="1" applyAlignment="1">
      <alignment horizontal="center" vertical="center" wrapText="1"/>
    </xf>
    <xf numFmtId="0" fontId="0" fillId="4" borderId="1" xfId="0" applyFill="1" applyBorder="1" applyAlignment="1">
      <alignment horizontal="center" vertical="center"/>
    </xf>
    <xf numFmtId="0" fontId="0" fillId="4" borderId="8" xfId="0" applyFill="1" applyBorder="1" applyAlignment="1">
      <alignment horizontal="center" vertical="center"/>
    </xf>
    <xf numFmtId="0" fontId="5" fillId="6" borderId="0" xfId="0" applyFont="1" applyFill="1"/>
    <xf numFmtId="0" fontId="0" fillId="4" borderId="8"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1" xfId="0" applyFill="1" applyBorder="1" applyAlignment="1">
      <alignment horizontal="center" vertical="center" wrapText="1"/>
    </xf>
    <xf numFmtId="0" fontId="1" fillId="4" borderId="1" xfId="0" applyFont="1" applyFill="1" applyBorder="1" applyAlignment="1">
      <alignment horizontal="center" vertical="center" wrapText="1"/>
    </xf>
    <xf numFmtId="0" fontId="11" fillId="6" borderId="0" xfId="0" applyFont="1" applyFill="1"/>
    <xf numFmtId="0" fontId="0" fillId="7" borderId="0" xfId="0" applyFill="1"/>
    <xf numFmtId="0" fontId="1" fillId="4" borderId="8" xfId="0" applyFont="1" applyFill="1" applyBorder="1" applyAlignment="1">
      <alignment horizontal="center" vertical="center" wrapText="1"/>
    </xf>
    <xf numFmtId="0" fontId="0" fillId="3" borderId="0" xfId="0" applyFill="1" applyAlignment="1">
      <alignment vertical="center"/>
    </xf>
    <xf numFmtId="0" fontId="15" fillId="3" borderId="0" xfId="0" applyFont="1" applyFill="1" applyAlignment="1">
      <alignment vertical="center" wrapText="1"/>
    </xf>
    <xf numFmtId="0" fontId="3" fillId="5" borderId="1" xfId="0" applyFont="1" applyFill="1" applyBorder="1" applyAlignment="1">
      <alignment horizontal="center" vertical="center"/>
    </xf>
    <xf numFmtId="0" fontId="3" fillId="5" borderId="6" xfId="0" applyFont="1" applyFill="1" applyBorder="1" applyAlignment="1">
      <alignment horizontal="center" vertical="center"/>
    </xf>
    <xf numFmtId="0" fontId="0" fillId="6" borderId="13" xfId="0" applyFill="1" applyBorder="1" applyAlignment="1"/>
    <xf numFmtId="0" fontId="0" fillId="6" borderId="2" xfId="0" applyFill="1" applyBorder="1" applyAlignment="1"/>
    <xf numFmtId="0" fontId="0" fillId="3" borderId="0" xfId="0" applyFill="1" applyAlignment="1">
      <alignment horizontal="right"/>
    </xf>
    <xf numFmtId="0" fontId="5" fillId="2" borderId="1" xfId="0" applyFont="1" applyFill="1" applyBorder="1"/>
    <xf numFmtId="0" fontId="0" fillId="3" borderId="1" xfId="0" applyFill="1" applyBorder="1" applyAlignment="1">
      <alignment horizontal="right"/>
    </xf>
    <xf numFmtId="0" fontId="0" fillId="2" borderId="8" xfId="0" applyFill="1" applyBorder="1" applyAlignment="1">
      <alignment horizontal="right" vertical="center"/>
    </xf>
    <xf numFmtId="0" fontId="0" fillId="3" borderId="11" xfId="0" applyFill="1" applyBorder="1"/>
    <xf numFmtId="0" fontId="0" fillId="2" borderId="12" xfId="0" applyFill="1" applyBorder="1"/>
    <xf numFmtId="0" fontId="0" fillId="2" borderId="8" xfId="0" applyFill="1" applyBorder="1"/>
    <xf numFmtId="0" fontId="0" fillId="2" borderId="14" xfId="0" applyFill="1" applyBorder="1"/>
    <xf numFmtId="0" fontId="0" fillId="2" borderId="11" xfId="0" applyFill="1" applyBorder="1"/>
    <xf numFmtId="0" fontId="0" fillId="3" borderId="8" xfId="0" applyFill="1" applyBorder="1"/>
    <xf numFmtId="0" fontId="16" fillId="2" borderId="0" xfId="0" applyFont="1" applyFill="1" applyAlignment="1">
      <alignment horizontal="right" vertical="center"/>
    </xf>
    <xf numFmtId="0" fontId="16" fillId="3" borderId="0" xfId="0" applyFont="1" applyFill="1"/>
    <xf numFmtId="0" fontId="16" fillId="2" borderId="9" xfId="0" applyFont="1" applyFill="1" applyBorder="1"/>
    <xf numFmtId="0" fontId="16" fillId="2" borderId="2" xfId="0" applyFont="1" applyFill="1" applyBorder="1"/>
    <xf numFmtId="0" fontId="16" fillId="2" borderId="3" xfId="0" applyFont="1" applyFill="1" applyBorder="1"/>
    <xf numFmtId="0" fontId="16" fillId="2" borderId="0" xfId="0" applyFont="1" applyFill="1"/>
    <xf numFmtId="0" fontId="16" fillId="2" borderId="4" xfId="0" applyFont="1" applyFill="1" applyBorder="1"/>
    <xf numFmtId="0" fontId="16" fillId="2" borderId="5" xfId="0" applyFont="1" applyFill="1" applyBorder="1"/>
    <xf numFmtId="0" fontId="16" fillId="3" borderId="2" xfId="0" applyFont="1" applyFill="1" applyBorder="1"/>
    <xf numFmtId="0" fontId="16" fillId="3" borderId="0" xfId="0" applyFont="1" applyFill="1" applyBorder="1"/>
    <xf numFmtId="0" fontId="16" fillId="3" borderId="13" xfId="0" applyFont="1" applyFill="1" applyBorder="1"/>
    <xf numFmtId="0" fontId="16" fillId="2" borderId="10" xfId="0" applyFont="1" applyFill="1" applyBorder="1"/>
    <xf numFmtId="0" fontId="16" fillId="3" borderId="4" xfId="0" applyFont="1" applyFill="1" applyBorder="1"/>
    <xf numFmtId="0" fontId="16" fillId="2" borderId="0" xfId="0" applyFont="1" applyFill="1" applyBorder="1" applyAlignment="1">
      <alignment horizontal="right" vertical="center"/>
    </xf>
    <xf numFmtId="0" fontId="0" fillId="0" borderId="0" xfId="0" applyFont="1"/>
    <xf numFmtId="0" fontId="5" fillId="3" borderId="11" xfId="0" applyFont="1" applyFill="1" applyBorder="1"/>
    <xf numFmtId="0" fontId="0" fillId="3" borderId="1" xfId="0" applyFill="1" applyBorder="1" applyAlignment="1">
      <alignment horizontal="center"/>
    </xf>
    <xf numFmtId="0" fontId="5" fillId="3" borderId="8" xfId="0" applyFont="1" applyFill="1" applyBorder="1"/>
    <xf numFmtId="0" fontId="5" fillId="3" borderId="14" xfId="0" applyFont="1" applyFill="1" applyBorder="1"/>
    <xf numFmtId="0" fontId="17" fillId="3" borderId="0" xfId="0" applyFont="1" applyFill="1"/>
    <xf numFmtId="0" fontId="15" fillId="3" borderId="0" xfId="0" applyFont="1" applyFill="1" applyAlignment="1">
      <alignment horizontal="center" vertical="center" wrapText="1"/>
    </xf>
    <xf numFmtId="0" fontId="3" fillId="5" borderId="1" xfId="0" applyFont="1" applyFill="1" applyBorder="1" applyAlignment="1">
      <alignment horizontal="center"/>
    </xf>
    <xf numFmtId="0" fontId="0" fillId="4" borderId="1" xfId="0" applyFill="1" applyBorder="1" applyAlignment="1">
      <alignment horizontal="center" vertical="center"/>
    </xf>
    <xf numFmtId="0" fontId="3" fillId="5" borderId="6" xfId="0" applyFont="1" applyFill="1" applyBorder="1" applyAlignment="1">
      <alignment horizontal="center"/>
    </xf>
    <xf numFmtId="0" fontId="3" fillId="5" borderId="7" xfId="0" applyFont="1" applyFill="1" applyBorder="1" applyAlignment="1">
      <alignment horizontal="center"/>
    </xf>
    <xf numFmtId="0" fontId="3" fillId="5" borderId="0" xfId="0" applyFont="1" applyFill="1" applyAlignment="1">
      <alignment horizontal="center"/>
    </xf>
    <xf numFmtId="0" fontId="0" fillId="6" borderId="0" xfId="0" applyFill="1" applyAlignment="1">
      <alignment horizontal="center"/>
    </xf>
    <xf numFmtId="0" fontId="14" fillId="3" borderId="0" xfId="0" applyFont="1" applyFill="1" applyAlignment="1">
      <alignment horizontal="center" vertical="center" wrapText="1"/>
    </xf>
    <xf numFmtId="0" fontId="18" fillId="0" borderId="0" xfId="0" applyFont="1"/>
    <xf numFmtId="0" fontId="19" fillId="0" borderId="0" xfId="0" applyFont="1"/>
    <xf numFmtId="0" fontId="0" fillId="9" borderId="3" xfId="0" applyFill="1" applyBorder="1" applyAlignment="1">
      <alignment horizontal="center" vertical="center"/>
    </xf>
    <xf numFmtId="0" fontId="0" fillId="9" borderId="5" xfId="0" applyFill="1" applyBorder="1" applyAlignment="1">
      <alignment horizontal="center" vertical="center"/>
    </xf>
    <xf numFmtId="0" fontId="1" fillId="9" borderId="1" xfId="0" applyFont="1" applyFill="1" applyBorder="1" applyAlignment="1">
      <alignment horizontal="center" vertical="center"/>
    </xf>
    <xf numFmtId="0" fontId="0" fillId="9" borderId="1" xfId="0" applyFill="1" applyBorder="1" applyAlignment="1">
      <alignment horizontal="center"/>
    </xf>
    <xf numFmtId="0" fontId="0" fillId="8" borderId="1" xfId="0" applyFill="1" applyBorder="1" applyAlignment="1">
      <alignment horizontal="center" vertical="center" wrapText="1"/>
    </xf>
    <xf numFmtId="0" fontId="0" fillId="8" borderId="1" xfId="0" applyFill="1" applyBorder="1" applyAlignment="1">
      <alignment horizontal="center" vertical="center" wrapText="1"/>
    </xf>
    <xf numFmtId="0" fontId="0" fillId="0" borderId="0" xfId="0" applyAlignment="1">
      <alignment horizontal="center" vertical="center"/>
    </xf>
    <xf numFmtId="0" fontId="15" fillId="0" borderId="0" xfId="0" applyFont="1" applyAlignment="1">
      <alignment horizontal="center" vertical="center" wrapText="1"/>
    </xf>
    <xf numFmtId="2" fontId="0" fillId="0" borderId="2" xfId="0" applyNumberFormat="1" applyBorder="1" applyAlignment="1">
      <alignment horizontal="center" vertical="center"/>
    </xf>
    <xf numFmtId="2" fontId="0" fillId="0" borderId="3" xfId="0" applyNumberFormat="1" applyBorder="1" applyAlignment="1">
      <alignment horizontal="center" vertical="center"/>
    </xf>
    <xf numFmtId="2" fontId="0" fillId="0" borderId="4" xfId="0" applyNumberFormat="1" applyBorder="1" applyAlignment="1">
      <alignment horizontal="center" vertical="center"/>
    </xf>
    <xf numFmtId="2" fontId="0" fillId="0" borderId="5" xfId="0" applyNumberFormat="1" applyBorder="1" applyAlignment="1">
      <alignment horizontal="center" vertical="center"/>
    </xf>
    <xf numFmtId="0" fontId="0" fillId="9" borderId="6" xfId="0" applyFill="1" applyBorder="1" applyAlignment="1">
      <alignment horizontal="center"/>
    </xf>
    <xf numFmtId="0" fontId="0" fillId="8" borderId="6" xfId="0" applyFill="1" applyBorder="1" applyAlignment="1">
      <alignment horizontal="center" vertical="center" wrapText="1"/>
    </xf>
    <xf numFmtId="0" fontId="0" fillId="0" borderId="0" xfId="0" applyBorder="1" applyAlignment="1">
      <alignment horizontal="center" vertical="center"/>
    </xf>
    <xf numFmtId="2" fontId="0" fillId="0" borderId="0" xfId="0" applyNumberFormat="1" applyBorder="1" applyAlignment="1">
      <alignment horizontal="center" vertical="center"/>
    </xf>
    <xf numFmtId="0" fontId="4" fillId="0" borderId="0" xfId="0" applyFont="1" applyFill="1" applyAlignment="1">
      <alignment horizontal="center" vertical="center"/>
    </xf>
    <xf numFmtId="0" fontId="12" fillId="0" borderId="0" xfId="0" applyFont="1" applyFill="1" applyAlignment="1">
      <alignment horizontal="center" vertical="center"/>
    </xf>
    <xf numFmtId="0" fontId="0" fillId="0" borderId="4" xfId="0" applyFill="1" applyBorder="1" applyAlignment="1">
      <alignment horizontal="center" vertical="center"/>
    </xf>
    <xf numFmtId="0" fontId="5" fillId="0" borderId="0" xfId="0" applyFont="1" applyFill="1" applyAlignment="1">
      <alignment horizontal="center" vertical="center"/>
    </xf>
    <xf numFmtId="0" fontId="11" fillId="0" borderId="0" xfId="0" applyFont="1" applyFill="1" applyAlignment="1">
      <alignment horizontal="center" vertical="center"/>
    </xf>
    <xf numFmtId="0" fontId="6" fillId="0" borderId="0" xfId="0" applyFont="1" applyFill="1" applyAlignment="1">
      <alignment horizontal="center" vertical="center"/>
    </xf>
    <xf numFmtId="0" fontId="13" fillId="0" borderId="0" xfId="0" applyFont="1" applyFill="1" applyAlignment="1">
      <alignment horizontal="center" vertical="center"/>
    </xf>
    <xf numFmtId="0" fontId="1" fillId="3" borderId="0" xfId="0" applyFont="1" applyFill="1"/>
    <xf numFmtId="0" fontId="19" fillId="3" borderId="0" xfId="0" applyFont="1" applyFill="1"/>
    <xf numFmtId="0" fontId="20" fillId="3" borderId="0" xfId="0" applyFont="1" applyFill="1"/>
    <xf numFmtId="0" fontId="21" fillId="3" borderId="0" xfId="0" applyFont="1" applyFill="1"/>
    <xf numFmtId="0" fontId="22" fillId="3" borderId="0" xfId="0" applyFont="1" applyFill="1"/>
  </cellXfs>
  <cellStyles count="1">
    <cellStyle name="Normal" xfId="0" builtinId="0"/>
  </cellStyles>
  <dxfs count="37">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6" tint="0.59996337778862885"/>
        </patternFill>
      </fill>
    </dxf>
    <dxf>
      <fill>
        <patternFill>
          <bgColor theme="5"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6" tint="0.59996337778862885"/>
        </patternFill>
      </fill>
    </dxf>
    <dxf>
      <fill>
        <patternFill>
          <bgColor theme="5" tint="0.59996337778862885"/>
        </patternFill>
      </fill>
    </dxf>
    <dxf>
      <fill>
        <patternFill>
          <bgColor theme="5"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5" tint="0.59996337778862885"/>
        </patternFill>
      </fill>
    </dxf>
    <dxf>
      <fill>
        <patternFill>
          <bgColor theme="8" tint="0.79998168889431442"/>
        </patternFill>
      </fill>
    </dxf>
    <dxf>
      <fill>
        <patternFill>
          <bgColor theme="8" tint="0.79998168889431442"/>
        </patternFill>
      </fill>
    </dxf>
    <dxf>
      <fill>
        <patternFill>
          <bgColor theme="6" tint="0.59996337778862885"/>
        </patternFill>
      </fill>
    </dxf>
    <dxf>
      <fill>
        <patternFill>
          <bgColor theme="6" tint="0.59996337778862885"/>
        </patternFill>
      </fill>
    </dxf>
    <dxf>
      <fill>
        <patternFill>
          <bgColor theme="5" tint="0.59996337778862885"/>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Ajuste tonal</a:t>
            </a:r>
          </a:p>
        </c:rich>
      </c:tx>
      <c:layout/>
    </c:title>
    <c:plotArea>
      <c:layout/>
      <c:scatterChart>
        <c:scatterStyle val="lineMarker"/>
        <c:ser>
          <c:idx val="0"/>
          <c:order val="0"/>
          <c:spPr>
            <a:ln>
              <a:noFill/>
            </a:ln>
          </c:spPr>
          <c:errBars>
            <c:errDir val="x"/>
            <c:errBarType val="both"/>
            <c:errValType val="cust"/>
            <c:plus>
              <c:numRef>
                <c:f>Prueba01!$J$7:$J$12</c:f>
                <c:numCache>
                  <c:formatCode>General</c:formatCode>
                  <c:ptCount val="6"/>
                  <c:pt idx="0">
                    <c:v>104.16666666666667</c:v>
                  </c:pt>
                  <c:pt idx="1">
                    <c:v>211.83333333333334</c:v>
                  </c:pt>
                  <c:pt idx="2">
                    <c:v>1218.6666666666667</c:v>
                  </c:pt>
                  <c:pt idx="3">
                    <c:v>1130</c:v>
                  </c:pt>
                  <c:pt idx="4">
                    <c:v>1083.3333333333333</c:v>
                  </c:pt>
                  <c:pt idx="5">
                    <c:v>1090.3333333333333</c:v>
                  </c:pt>
                </c:numCache>
              </c:numRef>
            </c:plus>
            <c:minus>
              <c:numRef>
                <c:f>Prueba01!$J$7:$J$12</c:f>
                <c:numCache>
                  <c:formatCode>General</c:formatCode>
                  <c:ptCount val="6"/>
                  <c:pt idx="0">
                    <c:v>104.16666666666667</c:v>
                  </c:pt>
                  <c:pt idx="1">
                    <c:v>211.83333333333334</c:v>
                  </c:pt>
                  <c:pt idx="2">
                    <c:v>1218.6666666666667</c:v>
                  </c:pt>
                  <c:pt idx="3">
                    <c:v>1130</c:v>
                  </c:pt>
                  <c:pt idx="4">
                    <c:v>1083.3333333333333</c:v>
                  </c:pt>
                  <c:pt idx="5">
                    <c:v>1090.3333333333333</c:v>
                  </c:pt>
                </c:numCache>
              </c:numRef>
            </c:minus>
          </c:errBars>
          <c:errBars>
            <c:errDir val="y"/>
            <c:errBarType val="both"/>
            <c:errValType val="cust"/>
            <c:plus>
              <c:numRef>
                <c:f>Prueba01!$J$7:$J$12</c:f>
                <c:numCache>
                  <c:formatCode>General</c:formatCode>
                  <c:ptCount val="6"/>
                  <c:pt idx="0">
                    <c:v>104.16666666666667</c:v>
                  </c:pt>
                  <c:pt idx="1">
                    <c:v>211.83333333333334</c:v>
                  </c:pt>
                  <c:pt idx="2">
                    <c:v>1218.6666666666667</c:v>
                  </c:pt>
                  <c:pt idx="3">
                    <c:v>1130</c:v>
                  </c:pt>
                  <c:pt idx="4">
                    <c:v>1083.3333333333333</c:v>
                  </c:pt>
                  <c:pt idx="5">
                    <c:v>1090.3333333333333</c:v>
                  </c:pt>
                </c:numCache>
              </c:numRef>
            </c:plus>
            <c:minus>
              <c:numRef>
                <c:f>Prueba01!$J$7:$J$12</c:f>
                <c:numCache>
                  <c:formatCode>General</c:formatCode>
                  <c:ptCount val="6"/>
                  <c:pt idx="0">
                    <c:v>104.16666666666667</c:v>
                  </c:pt>
                  <c:pt idx="1">
                    <c:v>211.83333333333334</c:v>
                  </c:pt>
                  <c:pt idx="2">
                    <c:v>1218.6666666666667</c:v>
                  </c:pt>
                  <c:pt idx="3">
                    <c:v>1130</c:v>
                  </c:pt>
                  <c:pt idx="4">
                    <c:v>1083.3333333333333</c:v>
                  </c:pt>
                  <c:pt idx="5">
                    <c:v>1090.3333333333333</c:v>
                  </c:pt>
                </c:numCache>
              </c:numRef>
            </c:minus>
          </c:errBars>
          <c:xVal>
            <c:numRef>
              <c:f>Prueba01!$D$7:$D$16</c:f>
              <c:numCache>
                <c:formatCode>General</c:formatCode>
                <c:ptCount val="10"/>
                <c:pt idx="0">
                  <c:v>645</c:v>
                </c:pt>
                <c:pt idx="1">
                  <c:v>1570</c:v>
                </c:pt>
                <c:pt idx="2">
                  <c:v>7036</c:v>
                </c:pt>
                <c:pt idx="3">
                  <c:v>6423</c:v>
                </c:pt>
                <c:pt idx="4">
                  <c:v>6423</c:v>
                </c:pt>
                <c:pt idx="5">
                  <c:v>6423</c:v>
                </c:pt>
                <c:pt idx="6">
                  <c:v>7206</c:v>
                </c:pt>
                <c:pt idx="7">
                  <c:v>6090</c:v>
                </c:pt>
                <c:pt idx="8">
                  <c:v>1258</c:v>
                </c:pt>
                <c:pt idx="9">
                  <c:v>7206</c:v>
                </c:pt>
              </c:numCache>
            </c:numRef>
          </c:xVal>
          <c:yVal>
            <c:numRef>
              <c:f>Prueba01!$C$7:$C$16</c:f>
              <c:numCache>
                <c:formatCode>General</c:formatCode>
                <c:ptCount val="10"/>
                <c:pt idx="0">
                  <c:v>625</c:v>
                </c:pt>
                <c:pt idx="1">
                  <c:v>1271</c:v>
                </c:pt>
                <c:pt idx="2">
                  <c:v>7312</c:v>
                </c:pt>
                <c:pt idx="3">
                  <c:v>6780</c:v>
                </c:pt>
                <c:pt idx="4">
                  <c:v>6500</c:v>
                </c:pt>
                <c:pt idx="5">
                  <c:v>6542</c:v>
                </c:pt>
                <c:pt idx="6">
                  <c:v>6494</c:v>
                </c:pt>
                <c:pt idx="7">
                  <c:v>6757</c:v>
                </c:pt>
                <c:pt idx="8">
                  <c:v>1214</c:v>
                </c:pt>
                <c:pt idx="9">
                  <c:v>6604</c:v>
                </c:pt>
              </c:numCache>
            </c:numRef>
          </c:yVal>
        </c:ser>
        <c:ser>
          <c:idx val="1"/>
          <c:order val="1"/>
          <c:spPr>
            <a:ln>
              <a:solidFill>
                <a:schemeClr val="accent2"/>
              </a:solidFill>
            </a:ln>
          </c:spPr>
          <c:marker>
            <c:symbol val="x"/>
            <c:size val="7"/>
            <c:spPr>
              <a:noFill/>
            </c:spPr>
          </c:marker>
          <c:xVal>
            <c:numRef>
              <c:f>Prueba01!$C$7:$C$16</c:f>
              <c:numCache>
                <c:formatCode>General</c:formatCode>
                <c:ptCount val="10"/>
                <c:pt idx="0">
                  <c:v>625</c:v>
                </c:pt>
                <c:pt idx="1">
                  <c:v>1271</c:v>
                </c:pt>
                <c:pt idx="2">
                  <c:v>7312</c:v>
                </c:pt>
                <c:pt idx="3">
                  <c:v>6780</c:v>
                </c:pt>
                <c:pt idx="4">
                  <c:v>6500</c:v>
                </c:pt>
                <c:pt idx="5">
                  <c:v>6542</c:v>
                </c:pt>
                <c:pt idx="6">
                  <c:v>6494</c:v>
                </c:pt>
                <c:pt idx="7">
                  <c:v>6757</c:v>
                </c:pt>
                <c:pt idx="8">
                  <c:v>1214</c:v>
                </c:pt>
                <c:pt idx="9">
                  <c:v>6604</c:v>
                </c:pt>
              </c:numCache>
            </c:numRef>
          </c:xVal>
          <c:yVal>
            <c:numRef>
              <c:f>Prueba01!$C$7:$C$16</c:f>
              <c:numCache>
                <c:formatCode>General</c:formatCode>
                <c:ptCount val="10"/>
                <c:pt idx="0">
                  <c:v>625</c:v>
                </c:pt>
                <c:pt idx="1">
                  <c:v>1271</c:v>
                </c:pt>
                <c:pt idx="2">
                  <c:v>7312</c:v>
                </c:pt>
                <c:pt idx="3">
                  <c:v>6780</c:v>
                </c:pt>
                <c:pt idx="4">
                  <c:v>6500</c:v>
                </c:pt>
                <c:pt idx="5">
                  <c:v>6542</c:v>
                </c:pt>
                <c:pt idx="6">
                  <c:v>6494</c:v>
                </c:pt>
                <c:pt idx="7">
                  <c:v>6757</c:v>
                </c:pt>
                <c:pt idx="8">
                  <c:v>1214</c:v>
                </c:pt>
                <c:pt idx="9">
                  <c:v>6604</c:v>
                </c:pt>
              </c:numCache>
            </c:numRef>
          </c:yVal>
        </c:ser>
        <c:axId val="191607552"/>
        <c:axId val="191610240"/>
      </c:scatterChart>
      <c:valAx>
        <c:axId val="191607552"/>
        <c:scaling>
          <c:orientation val="minMax"/>
        </c:scaling>
        <c:axPos val="b"/>
        <c:title>
          <c:tx>
            <c:rich>
              <a:bodyPr/>
              <a:lstStyle/>
              <a:p>
                <a:pPr>
                  <a:defRPr/>
                </a:pPr>
                <a:r>
                  <a:rPr lang="es-ES"/>
                  <a:t>Frecuencia</a:t>
                </a:r>
                <a:r>
                  <a:rPr lang="es-ES" baseline="0"/>
                  <a:t> medida</a:t>
                </a:r>
                <a:endParaRPr lang="es-ES"/>
              </a:p>
            </c:rich>
          </c:tx>
          <c:layout/>
        </c:title>
        <c:numFmt formatCode="General" sourceLinked="1"/>
        <c:tickLblPos val="nextTo"/>
        <c:crossAx val="191610240"/>
        <c:crosses val="autoZero"/>
        <c:crossBetween val="midCat"/>
      </c:valAx>
      <c:valAx>
        <c:axId val="191610240"/>
        <c:scaling>
          <c:orientation val="minMax"/>
        </c:scaling>
        <c:axPos val="l"/>
        <c:majorGridlines/>
        <c:title>
          <c:tx>
            <c:rich>
              <a:bodyPr rot="-5400000" vert="horz"/>
              <a:lstStyle/>
              <a:p>
                <a:pPr>
                  <a:defRPr/>
                </a:pPr>
                <a:r>
                  <a:rPr lang="es-ES"/>
                  <a:t>Frecuencia</a:t>
                </a:r>
                <a:r>
                  <a:rPr lang="es-ES" baseline="0"/>
                  <a:t> real</a:t>
                </a:r>
                <a:endParaRPr lang="es-ES"/>
              </a:p>
            </c:rich>
          </c:tx>
          <c:layout/>
        </c:title>
        <c:numFmt formatCode="General" sourceLinked="1"/>
        <c:tickLblPos val="nextTo"/>
        <c:crossAx val="191607552"/>
        <c:crosses val="autoZero"/>
        <c:crossBetween val="midCat"/>
      </c:valAx>
      <c:spPr>
        <a:ln>
          <a:noFill/>
        </a:ln>
      </c:spPr>
    </c:plotArea>
    <c:legend>
      <c:legendPos val="r"/>
      <c:layout>
        <c:manualLayout>
          <c:xMode val="edge"/>
          <c:yMode val="edge"/>
          <c:x val="0.81470770699117323"/>
          <c:y val="0.46530391061979032"/>
          <c:w val="0.13334424106077686"/>
          <c:h val="0.10821611840710237"/>
        </c:manualLayout>
      </c:layout>
      <c:overlay val="1"/>
    </c:legend>
    <c:plotVisOnly val="1"/>
  </c:chart>
  <c:printSettings>
    <c:headerFooter/>
    <c:pageMargins b="0.75000000000000178" l="0.70000000000000062" r="0.70000000000000062" t="0.7500000000000017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Ajuste nivel sonoro sin</a:t>
            </a:r>
            <a:r>
              <a:rPr lang="es-ES" baseline="0"/>
              <a:t> corregir formula</a:t>
            </a:r>
            <a:endParaRPr lang="es-ES"/>
          </a:p>
        </c:rich>
      </c:tx>
      <c:layout/>
    </c:title>
    <c:plotArea>
      <c:layout/>
      <c:scatterChart>
        <c:scatterStyle val="lineMarker"/>
        <c:ser>
          <c:idx val="0"/>
          <c:order val="0"/>
          <c:spPr>
            <a:ln>
              <a:noFill/>
            </a:ln>
          </c:spPr>
          <c:dLbls>
            <c:dLbl>
              <c:idx val="0"/>
              <c:layout>
                <c:manualLayout>
                  <c:x val="0"/>
                  <c:y val="-3.6900369003690002E-2"/>
                </c:manualLayout>
              </c:layout>
              <c:tx>
                <c:rich>
                  <a:bodyPr/>
                  <a:lstStyle/>
                  <a:p>
                    <a:r>
                      <a:rPr lang="en-US" b="1">
                        <a:solidFill>
                          <a:srgbClr val="7030A0"/>
                        </a:solidFill>
                      </a:rPr>
                      <a:t>625</a:t>
                    </a:r>
                  </a:p>
                </c:rich>
              </c:tx>
              <c:showVal val="1"/>
            </c:dLbl>
            <c:dLbl>
              <c:idx val="1"/>
              <c:layout>
                <c:manualLayout>
                  <c:x val="-3.8314176245210752E-3"/>
                  <c:y val="-3.6900369003690051E-2"/>
                </c:manualLayout>
              </c:layout>
              <c:tx>
                <c:rich>
                  <a:bodyPr/>
                  <a:lstStyle/>
                  <a:p>
                    <a:r>
                      <a:rPr lang="en-US" b="1">
                        <a:solidFill>
                          <a:srgbClr val="7030A0"/>
                        </a:solidFill>
                      </a:rPr>
                      <a:t>1271</a:t>
                    </a:r>
                  </a:p>
                </c:rich>
              </c:tx>
              <c:showVal val="1"/>
            </c:dLbl>
            <c:dLbl>
              <c:idx val="2"/>
              <c:layout>
                <c:manualLayout>
                  <c:x val="0"/>
                  <c:y val="-2.4600246002460052E-2"/>
                </c:manualLayout>
              </c:layout>
              <c:tx>
                <c:rich>
                  <a:bodyPr/>
                  <a:lstStyle/>
                  <a:p>
                    <a:r>
                      <a:rPr lang="en-US" b="1">
                        <a:solidFill>
                          <a:srgbClr val="7030A0"/>
                        </a:solidFill>
                      </a:rPr>
                      <a:t>7312</a:t>
                    </a:r>
                  </a:p>
                </c:rich>
              </c:tx>
              <c:showVal val="1"/>
            </c:dLbl>
            <c:dLbl>
              <c:idx val="3"/>
              <c:layout>
                <c:manualLayout>
                  <c:x val="0"/>
                  <c:y val="-2.1525215252152542E-2"/>
                </c:manualLayout>
              </c:layout>
              <c:tx>
                <c:rich>
                  <a:bodyPr/>
                  <a:lstStyle/>
                  <a:p>
                    <a:r>
                      <a:rPr lang="en-US" b="1">
                        <a:solidFill>
                          <a:srgbClr val="7030A0"/>
                        </a:solidFill>
                      </a:rPr>
                      <a:t>6780</a:t>
                    </a:r>
                  </a:p>
                </c:rich>
              </c:tx>
              <c:showVal val="1"/>
            </c:dLbl>
            <c:dLbl>
              <c:idx val="4"/>
              <c:layout>
                <c:manualLayout>
                  <c:x val="0"/>
                  <c:y val="-1.8450184501845025E-2"/>
                </c:manualLayout>
              </c:layout>
              <c:tx>
                <c:rich>
                  <a:bodyPr/>
                  <a:lstStyle/>
                  <a:p>
                    <a:r>
                      <a:rPr lang="en-US" b="1">
                        <a:solidFill>
                          <a:srgbClr val="7030A0"/>
                        </a:solidFill>
                      </a:rPr>
                      <a:t>6500</a:t>
                    </a:r>
                  </a:p>
                </c:rich>
              </c:tx>
              <c:showVal val="1"/>
            </c:dLbl>
            <c:dLbl>
              <c:idx val="5"/>
              <c:layout>
                <c:manualLayout>
                  <c:x val="-5.7471264367816204E-3"/>
                  <c:y val="-1.8450184501845025E-2"/>
                </c:manualLayout>
              </c:layout>
              <c:tx>
                <c:rich>
                  <a:bodyPr/>
                  <a:lstStyle/>
                  <a:p>
                    <a:r>
                      <a:rPr lang="en-US" b="1">
                        <a:solidFill>
                          <a:srgbClr val="7030A0"/>
                        </a:solidFill>
                      </a:rPr>
                      <a:t>6542</a:t>
                    </a:r>
                  </a:p>
                </c:rich>
              </c:tx>
              <c:showVal val="1"/>
            </c:dLbl>
            <c:showVal val="1"/>
          </c:dLbls>
          <c:errBars>
            <c:errDir val="x"/>
            <c:errBarType val="both"/>
            <c:errValType val="cust"/>
            <c:plus>
              <c:numRef>
                <c:f>Prueba01!$H$7:$H$12</c:f>
                <c:numCache>
                  <c:formatCode>General</c:formatCode>
                  <c:ptCount val="6"/>
                  <c:pt idx="0">
                    <c:v>2</c:v>
                  </c:pt>
                  <c:pt idx="1">
                    <c:v>2</c:v>
                  </c:pt>
                  <c:pt idx="2">
                    <c:v>2</c:v>
                  </c:pt>
                  <c:pt idx="3">
                    <c:v>2</c:v>
                  </c:pt>
                  <c:pt idx="4">
                    <c:v>2</c:v>
                  </c:pt>
                  <c:pt idx="5">
                    <c:v>2</c:v>
                  </c:pt>
                </c:numCache>
              </c:numRef>
            </c:plus>
            <c:minus>
              <c:numRef>
                <c:f>Prueba01!$H$7:$H$12</c:f>
                <c:numCache>
                  <c:formatCode>General</c:formatCode>
                  <c:ptCount val="6"/>
                  <c:pt idx="0">
                    <c:v>2</c:v>
                  </c:pt>
                  <c:pt idx="1">
                    <c:v>2</c:v>
                  </c:pt>
                  <c:pt idx="2">
                    <c:v>2</c:v>
                  </c:pt>
                  <c:pt idx="3">
                    <c:v>2</c:v>
                  </c:pt>
                  <c:pt idx="4">
                    <c:v>2</c:v>
                  </c:pt>
                  <c:pt idx="5">
                    <c:v>2</c:v>
                  </c:pt>
                </c:numCache>
              </c:numRef>
            </c:minus>
          </c:errBars>
          <c:errBars>
            <c:errDir val="y"/>
            <c:errBarType val="both"/>
            <c:errValType val="cust"/>
            <c:plus>
              <c:numRef>
                <c:f>Prueba01!$H$7:$H$12</c:f>
                <c:numCache>
                  <c:formatCode>General</c:formatCode>
                  <c:ptCount val="6"/>
                  <c:pt idx="0">
                    <c:v>2</c:v>
                  </c:pt>
                  <c:pt idx="1">
                    <c:v>2</c:v>
                  </c:pt>
                  <c:pt idx="2">
                    <c:v>2</c:v>
                  </c:pt>
                  <c:pt idx="3">
                    <c:v>2</c:v>
                  </c:pt>
                  <c:pt idx="4">
                    <c:v>2</c:v>
                  </c:pt>
                  <c:pt idx="5">
                    <c:v>2</c:v>
                  </c:pt>
                </c:numCache>
              </c:numRef>
            </c:plus>
            <c:minus>
              <c:numRef>
                <c:f>Prueba01!$H$7:$H$12</c:f>
                <c:numCache>
                  <c:formatCode>General</c:formatCode>
                  <c:ptCount val="6"/>
                  <c:pt idx="0">
                    <c:v>2</c:v>
                  </c:pt>
                  <c:pt idx="1">
                    <c:v>2</c:v>
                  </c:pt>
                  <c:pt idx="2">
                    <c:v>2</c:v>
                  </c:pt>
                  <c:pt idx="3">
                    <c:v>2</c:v>
                  </c:pt>
                  <c:pt idx="4">
                    <c:v>2</c:v>
                  </c:pt>
                  <c:pt idx="5">
                    <c:v>2</c:v>
                  </c:pt>
                </c:numCache>
              </c:numRef>
            </c:minus>
          </c:errBars>
          <c:xVal>
            <c:numRef>
              <c:f>Prueba01!$F$7:$F$16</c:f>
              <c:numCache>
                <c:formatCode>General</c:formatCode>
                <c:ptCount val="10"/>
                <c:pt idx="0">
                  <c:v>39</c:v>
                </c:pt>
                <c:pt idx="1">
                  <c:v>36</c:v>
                </c:pt>
                <c:pt idx="2">
                  <c:v>24</c:v>
                </c:pt>
                <c:pt idx="3">
                  <c:v>31</c:v>
                </c:pt>
                <c:pt idx="4">
                  <c:v>41</c:v>
                </c:pt>
                <c:pt idx="5">
                  <c:v>23</c:v>
                </c:pt>
                <c:pt idx="6">
                  <c:v>42</c:v>
                </c:pt>
                <c:pt idx="7">
                  <c:v>50</c:v>
                </c:pt>
                <c:pt idx="8">
                  <c:v>46</c:v>
                </c:pt>
                <c:pt idx="9">
                  <c:v>43</c:v>
                </c:pt>
              </c:numCache>
            </c:numRef>
          </c:xVal>
          <c:yVal>
            <c:numRef>
              <c:f>Prueba01!$E$7:$E$16</c:f>
              <c:numCache>
                <c:formatCode>General</c:formatCode>
                <c:ptCount val="10"/>
                <c:pt idx="0">
                  <c:v>46</c:v>
                </c:pt>
                <c:pt idx="1">
                  <c:v>38</c:v>
                </c:pt>
                <c:pt idx="2">
                  <c:v>42</c:v>
                </c:pt>
                <c:pt idx="3">
                  <c:v>36</c:v>
                </c:pt>
                <c:pt idx="4">
                  <c:v>43</c:v>
                </c:pt>
                <c:pt idx="5">
                  <c:v>52</c:v>
                </c:pt>
                <c:pt idx="6">
                  <c:v>43</c:v>
                </c:pt>
                <c:pt idx="7">
                  <c:v>50.8</c:v>
                </c:pt>
                <c:pt idx="8">
                  <c:v>48</c:v>
                </c:pt>
                <c:pt idx="9">
                  <c:v>51</c:v>
                </c:pt>
              </c:numCache>
            </c:numRef>
          </c:yVal>
        </c:ser>
        <c:ser>
          <c:idx val="1"/>
          <c:order val="1"/>
          <c:marker>
            <c:symbol val="x"/>
            <c:size val="8"/>
          </c:marker>
          <c:xVal>
            <c:numRef>
              <c:f>Prueba01!$E$7:$E$16</c:f>
              <c:numCache>
                <c:formatCode>General</c:formatCode>
                <c:ptCount val="10"/>
                <c:pt idx="0">
                  <c:v>46</c:v>
                </c:pt>
                <c:pt idx="1">
                  <c:v>38</c:v>
                </c:pt>
                <c:pt idx="2">
                  <c:v>42</c:v>
                </c:pt>
                <c:pt idx="3">
                  <c:v>36</c:v>
                </c:pt>
                <c:pt idx="4">
                  <c:v>43</c:v>
                </c:pt>
                <c:pt idx="5">
                  <c:v>52</c:v>
                </c:pt>
                <c:pt idx="6">
                  <c:v>43</c:v>
                </c:pt>
                <c:pt idx="7">
                  <c:v>50.8</c:v>
                </c:pt>
                <c:pt idx="8">
                  <c:v>48</c:v>
                </c:pt>
                <c:pt idx="9">
                  <c:v>51</c:v>
                </c:pt>
              </c:numCache>
            </c:numRef>
          </c:xVal>
          <c:yVal>
            <c:numRef>
              <c:f>Prueba01!$E$7:$E$16</c:f>
              <c:numCache>
                <c:formatCode>General</c:formatCode>
                <c:ptCount val="10"/>
                <c:pt idx="0">
                  <c:v>46</c:v>
                </c:pt>
                <c:pt idx="1">
                  <c:v>38</c:v>
                </c:pt>
                <c:pt idx="2">
                  <c:v>42</c:v>
                </c:pt>
                <c:pt idx="3">
                  <c:v>36</c:v>
                </c:pt>
                <c:pt idx="4">
                  <c:v>43</c:v>
                </c:pt>
                <c:pt idx="5">
                  <c:v>52</c:v>
                </c:pt>
                <c:pt idx="6">
                  <c:v>43</c:v>
                </c:pt>
                <c:pt idx="7">
                  <c:v>50.8</c:v>
                </c:pt>
                <c:pt idx="8">
                  <c:v>48</c:v>
                </c:pt>
                <c:pt idx="9">
                  <c:v>51</c:v>
                </c:pt>
              </c:numCache>
            </c:numRef>
          </c:yVal>
        </c:ser>
        <c:axId val="192231296"/>
        <c:axId val="192266240"/>
      </c:scatterChart>
      <c:valAx>
        <c:axId val="192231296"/>
        <c:scaling>
          <c:orientation val="minMax"/>
          <c:min val="22"/>
        </c:scaling>
        <c:axPos val="b"/>
        <c:title>
          <c:tx>
            <c:rich>
              <a:bodyPr/>
              <a:lstStyle/>
              <a:p>
                <a:pPr>
                  <a:defRPr/>
                </a:pPr>
                <a:r>
                  <a:rPr lang="es-ES"/>
                  <a:t>dB nivel sonoro medido</a:t>
                </a:r>
              </a:p>
            </c:rich>
          </c:tx>
          <c:layout/>
        </c:title>
        <c:numFmt formatCode="General" sourceLinked="1"/>
        <c:tickLblPos val="nextTo"/>
        <c:crossAx val="192266240"/>
        <c:crosses val="autoZero"/>
        <c:crossBetween val="midCat"/>
      </c:valAx>
      <c:valAx>
        <c:axId val="192266240"/>
        <c:scaling>
          <c:orientation val="minMax"/>
          <c:min val="30"/>
        </c:scaling>
        <c:axPos val="l"/>
        <c:majorGridlines/>
        <c:title>
          <c:tx>
            <c:rich>
              <a:bodyPr rot="-5400000" vert="horz"/>
              <a:lstStyle/>
              <a:p>
                <a:pPr>
                  <a:defRPr/>
                </a:pPr>
                <a:r>
                  <a:rPr lang="es-ES"/>
                  <a:t>dB nivel sonoro real</a:t>
                </a:r>
              </a:p>
            </c:rich>
          </c:tx>
          <c:layout/>
        </c:title>
        <c:numFmt formatCode="General" sourceLinked="1"/>
        <c:tickLblPos val="nextTo"/>
        <c:crossAx val="192231296"/>
        <c:crosses val="autoZero"/>
        <c:crossBetween val="midCat"/>
      </c:valAx>
      <c:spPr>
        <a:ln>
          <a:noFill/>
        </a:ln>
      </c:spPr>
    </c:plotArea>
    <c:legend>
      <c:legendPos val="r"/>
      <c:layout>
        <c:manualLayout>
          <c:xMode val="edge"/>
          <c:yMode val="edge"/>
          <c:x val="0.82068000120674567"/>
          <c:y val="0.49201896349672264"/>
          <c:w val="0.1180173168009169"/>
          <c:h val="0.11121102943312899"/>
        </c:manualLayout>
      </c:layout>
      <c:overlay val="1"/>
    </c:legend>
    <c:plotVisOnly val="1"/>
  </c:chart>
  <c:printSettings>
    <c:headerFooter/>
    <c:pageMargins b="0.75000000000000222" l="0.70000000000000062" r="0.70000000000000062" t="0.750000000000002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Ajuste serie teorica</a:t>
            </a:r>
            <a:r>
              <a:rPr lang="es-ES" baseline="0"/>
              <a:t> y simulada</a:t>
            </a:r>
            <a:endParaRPr lang="es-ES"/>
          </a:p>
        </c:rich>
      </c:tx>
      <c:layout>
        <c:manualLayout>
          <c:xMode val="edge"/>
          <c:yMode val="edge"/>
          <c:x val="0.28872294372294494"/>
          <c:y val="2.6929982046678635E-2"/>
        </c:manualLayout>
      </c:layout>
    </c:title>
    <c:plotArea>
      <c:layout>
        <c:manualLayout>
          <c:layoutTarget val="inner"/>
          <c:xMode val="edge"/>
          <c:yMode val="edge"/>
          <c:x val="9.4371487959978156E-2"/>
          <c:y val="0.10893651880471462"/>
          <c:w val="0.86435804165419128"/>
          <c:h val="0.71085910456845236"/>
        </c:manualLayout>
      </c:layout>
      <c:scatterChart>
        <c:scatterStyle val="lineMarker"/>
        <c:ser>
          <c:idx val="0"/>
          <c:order val="0"/>
          <c:spPr>
            <a:ln>
              <a:noFill/>
            </a:ln>
          </c:spPr>
          <c:xVal>
            <c:numRef>
              <c:f>Prueba01!$D$7:$D$16</c:f>
              <c:numCache>
                <c:formatCode>General</c:formatCode>
                <c:ptCount val="10"/>
                <c:pt idx="0">
                  <c:v>645</c:v>
                </c:pt>
                <c:pt idx="1">
                  <c:v>1570</c:v>
                </c:pt>
                <c:pt idx="2">
                  <c:v>7036</c:v>
                </c:pt>
                <c:pt idx="3">
                  <c:v>6423</c:v>
                </c:pt>
                <c:pt idx="4">
                  <c:v>6423</c:v>
                </c:pt>
                <c:pt idx="5">
                  <c:v>6423</c:v>
                </c:pt>
                <c:pt idx="6">
                  <c:v>7206</c:v>
                </c:pt>
                <c:pt idx="7">
                  <c:v>6090</c:v>
                </c:pt>
                <c:pt idx="8">
                  <c:v>1258</c:v>
                </c:pt>
                <c:pt idx="9">
                  <c:v>7206</c:v>
                </c:pt>
              </c:numCache>
            </c:numRef>
          </c:xVal>
          <c:yVal>
            <c:numRef>
              <c:f>Prueba01!$F$7:$F$16</c:f>
              <c:numCache>
                <c:formatCode>General</c:formatCode>
                <c:ptCount val="10"/>
                <c:pt idx="0">
                  <c:v>39</c:v>
                </c:pt>
                <c:pt idx="1">
                  <c:v>36</c:v>
                </c:pt>
                <c:pt idx="2">
                  <c:v>24</c:v>
                </c:pt>
                <c:pt idx="3">
                  <c:v>31</c:v>
                </c:pt>
                <c:pt idx="4">
                  <c:v>41</c:v>
                </c:pt>
                <c:pt idx="5">
                  <c:v>23</c:v>
                </c:pt>
                <c:pt idx="6">
                  <c:v>42</c:v>
                </c:pt>
                <c:pt idx="7">
                  <c:v>50</c:v>
                </c:pt>
                <c:pt idx="8">
                  <c:v>46</c:v>
                </c:pt>
                <c:pt idx="9">
                  <c:v>43</c:v>
                </c:pt>
              </c:numCache>
            </c:numRef>
          </c:yVal>
        </c:ser>
        <c:ser>
          <c:idx val="1"/>
          <c:order val="1"/>
          <c:spPr>
            <a:ln>
              <a:noFill/>
            </a:ln>
          </c:spPr>
          <c:marker>
            <c:symbol val="x"/>
            <c:size val="7"/>
            <c:spPr>
              <a:noFill/>
            </c:spPr>
          </c:marker>
          <c:xVal>
            <c:numRef>
              <c:f>Prueba01!$C$7:$C$16</c:f>
              <c:numCache>
                <c:formatCode>General</c:formatCode>
                <c:ptCount val="10"/>
                <c:pt idx="0">
                  <c:v>625</c:v>
                </c:pt>
                <c:pt idx="1">
                  <c:v>1271</c:v>
                </c:pt>
                <c:pt idx="2">
                  <c:v>7312</c:v>
                </c:pt>
                <c:pt idx="3">
                  <c:v>6780</c:v>
                </c:pt>
                <c:pt idx="4">
                  <c:v>6500</c:v>
                </c:pt>
                <c:pt idx="5">
                  <c:v>6542</c:v>
                </c:pt>
                <c:pt idx="6">
                  <c:v>6494</c:v>
                </c:pt>
                <c:pt idx="7">
                  <c:v>6757</c:v>
                </c:pt>
                <c:pt idx="8">
                  <c:v>1214</c:v>
                </c:pt>
                <c:pt idx="9">
                  <c:v>6604</c:v>
                </c:pt>
              </c:numCache>
            </c:numRef>
          </c:xVal>
          <c:yVal>
            <c:numRef>
              <c:f>Prueba01!$E$7:$E$16</c:f>
              <c:numCache>
                <c:formatCode>General</c:formatCode>
                <c:ptCount val="10"/>
                <c:pt idx="0">
                  <c:v>46</c:v>
                </c:pt>
                <c:pt idx="1">
                  <c:v>38</c:v>
                </c:pt>
                <c:pt idx="2">
                  <c:v>42</c:v>
                </c:pt>
                <c:pt idx="3">
                  <c:v>36</c:v>
                </c:pt>
                <c:pt idx="4">
                  <c:v>43</c:v>
                </c:pt>
                <c:pt idx="5">
                  <c:v>52</c:v>
                </c:pt>
                <c:pt idx="6">
                  <c:v>43</c:v>
                </c:pt>
                <c:pt idx="7">
                  <c:v>50.8</c:v>
                </c:pt>
                <c:pt idx="8">
                  <c:v>48</c:v>
                </c:pt>
                <c:pt idx="9">
                  <c:v>51</c:v>
                </c:pt>
              </c:numCache>
            </c:numRef>
          </c:yVal>
        </c:ser>
        <c:axId val="192168320"/>
        <c:axId val="192170624"/>
      </c:scatterChart>
      <c:valAx>
        <c:axId val="192168320"/>
        <c:scaling>
          <c:orientation val="minMax"/>
        </c:scaling>
        <c:axPos val="b"/>
        <c:title>
          <c:tx>
            <c:rich>
              <a:bodyPr/>
              <a:lstStyle/>
              <a:p>
                <a:pPr>
                  <a:defRPr/>
                </a:pPr>
                <a:r>
                  <a:rPr lang="es-ES"/>
                  <a:t>Frecuencia</a:t>
                </a:r>
              </a:p>
            </c:rich>
          </c:tx>
          <c:layout/>
        </c:title>
        <c:numFmt formatCode="General" sourceLinked="1"/>
        <c:tickLblPos val="nextTo"/>
        <c:crossAx val="192170624"/>
        <c:crosses val="autoZero"/>
        <c:crossBetween val="midCat"/>
      </c:valAx>
      <c:valAx>
        <c:axId val="192170624"/>
        <c:scaling>
          <c:orientation val="minMax"/>
          <c:min val="20"/>
        </c:scaling>
        <c:axPos val="l"/>
        <c:majorGridlines/>
        <c:title>
          <c:tx>
            <c:rich>
              <a:bodyPr rot="-5400000" vert="horz"/>
              <a:lstStyle/>
              <a:p>
                <a:pPr>
                  <a:defRPr/>
                </a:pPr>
                <a:r>
                  <a:rPr lang="es-ES"/>
                  <a:t>Nivel sonoro dB</a:t>
                </a:r>
              </a:p>
            </c:rich>
          </c:tx>
          <c:layout/>
        </c:title>
        <c:numFmt formatCode="General" sourceLinked="1"/>
        <c:tickLblPos val="nextTo"/>
        <c:crossAx val="192168320"/>
        <c:crosses val="autoZero"/>
        <c:crossBetween val="midCat"/>
      </c:valAx>
      <c:spPr>
        <a:ln>
          <a:noFill/>
        </a:ln>
      </c:spPr>
    </c:plotArea>
    <c:legend>
      <c:legendPos val="r"/>
      <c:layout>
        <c:manualLayout>
          <c:xMode val="edge"/>
          <c:yMode val="edge"/>
          <c:x val="0.85163014438631413"/>
          <c:y val="4.3502035071703114E-3"/>
          <c:w val="0.13334424106077691"/>
          <c:h val="0.10821611840710241"/>
        </c:manualLayout>
      </c:layout>
      <c:overlay val="1"/>
    </c:legend>
    <c:plotVisOnly val="1"/>
  </c:chart>
  <c:printSettings>
    <c:headerFooter/>
    <c:pageMargins b="0.750000000000002" l="0.70000000000000062" r="0.70000000000000062" t="0.75000000000000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Ajuste tonal</a:t>
            </a:r>
          </a:p>
        </c:rich>
      </c:tx>
      <c:layout/>
    </c:title>
    <c:plotArea>
      <c:layout>
        <c:manualLayout>
          <c:layoutTarget val="inner"/>
          <c:xMode val="edge"/>
          <c:yMode val="edge"/>
          <c:x val="0.10662475075471677"/>
          <c:y val="0.14552490579200494"/>
          <c:w val="0.85099944484411483"/>
          <c:h val="0.65227500157251794"/>
        </c:manualLayout>
      </c:layout>
      <c:scatterChart>
        <c:scatterStyle val="lineMarker"/>
        <c:ser>
          <c:idx val="0"/>
          <c:order val="0"/>
          <c:spPr>
            <a:ln>
              <a:noFill/>
            </a:ln>
          </c:spPr>
          <c:errBars>
            <c:errDir val="x"/>
            <c:errBarType val="both"/>
            <c:errValType val="cust"/>
            <c:plus>
              <c:numRef>
                <c:f>Prueba02!$J$22:$J$70</c:f>
                <c:numCache>
                  <c:formatCode>General</c:formatCode>
                  <c:ptCount val="49"/>
                  <c:pt idx="0">
                    <c:v>1072.5</c:v>
                  </c:pt>
                  <c:pt idx="1">
                    <c:v>167.66666666666666</c:v>
                  </c:pt>
                  <c:pt idx="2">
                    <c:v>167.66666666666666</c:v>
                  </c:pt>
                  <c:pt idx="3">
                    <c:v>167.66666666666666</c:v>
                  </c:pt>
                  <c:pt idx="4">
                    <c:v>167.66666666666666</c:v>
                  </c:pt>
                  <c:pt idx="5">
                    <c:v>748</c:v>
                  </c:pt>
                  <c:pt idx="6">
                    <c:v>748</c:v>
                  </c:pt>
                  <c:pt idx="7">
                    <c:v>748</c:v>
                  </c:pt>
                  <c:pt idx="8">
                    <c:v>748</c:v>
                  </c:pt>
                  <c:pt idx="9">
                    <c:v>1288</c:v>
                  </c:pt>
                  <c:pt idx="10">
                    <c:v>1288</c:v>
                  </c:pt>
                  <c:pt idx="11">
                    <c:v>1288</c:v>
                  </c:pt>
                  <c:pt idx="12">
                    <c:v>1288</c:v>
                  </c:pt>
                  <c:pt idx="13">
                    <c:v>1295.3333333333333</c:v>
                  </c:pt>
                  <c:pt idx="14">
                    <c:v>1295.3333333333333</c:v>
                  </c:pt>
                  <c:pt idx="15">
                    <c:v>1295.3333333333333</c:v>
                  </c:pt>
                  <c:pt idx="16">
                    <c:v>1295.3333333333333</c:v>
                  </c:pt>
                  <c:pt idx="17">
                    <c:v>668.66666666666663</c:v>
                  </c:pt>
                  <c:pt idx="18">
                    <c:v>668.66666666666663</c:v>
                  </c:pt>
                  <c:pt idx="19">
                    <c:v>668.66666666666663</c:v>
                  </c:pt>
                  <c:pt idx="20">
                    <c:v>668.66666666666663</c:v>
                  </c:pt>
                </c:numCache>
              </c:numRef>
            </c:plus>
            <c:minus>
              <c:numRef>
                <c:f>Prueba02!$J$22:$J$70</c:f>
                <c:numCache>
                  <c:formatCode>General</c:formatCode>
                  <c:ptCount val="49"/>
                  <c:pt idx="0">
                    <c:v>1072.5</c:v>
                  </c:pt>
                  <c:pt idx="1">
                    <c:v>167.66666666666666</c:v>
                  </c:pt>
                  <c:pt idx="2">
                    <c:v>167.66666666666666</c:v>
                  </c:pt>
                  <c:pt idx="3">
                    <c:v>167.66666666666666</c:v>
                  </c:pt>
                  <c:pt idx="4">
                    <c:v>167.66666666666666</c:v>
                  </c:pt>
                  <c:pt idx="5">
                    <c:v>748</c:v>
                  </c:pt>
                  <c:pt idx="6">
                    <c:v>748</c:v>
                  </c:pt>
                  <c:pt idx="7">
                    <c:v>748</c:v>
                  </c:pt>
                  <c:pt idx="8">
                    <c:v>748</c:v>
                  </c:pt>
                  <c:pt idx="9">
                    <c:v>1288</c:v>
                  </c:pt>
                  <c:pt idx="10">
                    <c:v>1288</c:v>
                  </c:pt>
                  <c:pt idx="11">
                    <c:v>1288</c:v>
                  </c:pt>
                  <c:pt idx="12">
                    <c:v>1288</c:v>
                  </c:pt>
                  <c:pt idx="13">
                    <c:v>1295.3333333333333</c:v>
                  </c:pt>
                  <c:pt idx="14">
                    <c:v>1295.3333333333333</c:v>
                  </c:pt>
                  <c:pt idx="15">
                    <c:v>1295.3333333333333</c:v>
                  </c:pt>
                  <c:pt idx="16">
                    <c:v>1295.3333333333333</c:v>
                  </c:pt>
                  <c:pt idx="17">
                    <c:v>668.66666666666663</c:v>
                  </c:pt>
                  <c:pt idx="18">
                    <c:v>668.66666666666663</c:v>
                  </c:pt>
                  <c:pt idx="19">
                    <c:v>668.66666666666663</c:v>
                  </c:pt>
                  <c:pt idx="20">
                    <c:v>668.66666666666663</c:v>
                  </c:pt>
                </c:numCache>
              </c:numRef>
            </c:minus>
          </c:errBars>
          <c:errBars>
            <c:errDir val="y"/>
            <c:errBarType val="both"/>
            <c:errValType val="cust"/>
            <c:plus>
              <c:numRef>
                <c:f>Prueba02!$J$22:$J$70</c:f>
                <c:numCache>
                  <c:formatCode>General</c:formatCode>
                  <c:ptCount val="49"/>
                  <c:pt idx="0">
                    <c:v>1072.5</c:v>
                  </c:pt>
                  <c:pt idx="1">
                    <c:v>167.66666666666666</c:v>
                  </c:pt>
                  <c:pt idx="2">
                    <c:v>167.66666666666666</c:v>
                  </c:pt>
                  <c:pt idx="3">
                    <c:v>167.66666666666666</c:v>
                  </c:pt>
                  <c:pt idx="4">
                    <c:v>167.66666666666666</c:v>
                  </c:pt>
                  <c:pt idx="5">
                    <c:v>748</c:v>
                  </c:pt>
                  <c:pt idx="6">
                    <c:v>748</c:v>
                  </c:pt>
                  <c:pt idx="7">
                    <c:v>748</c:v>
                  </c:pt>
                  <c:pt idx="8">
                    <c:v>748</c:v>
                  </c:pt>
                  <c:pt idx="9">
                    <c:v>1288</c:v>
                  </c:pt>
                  <c:pt idx="10">
                    <c:v>1288</c:v>
                  </c:pt>
                  <c:pt idx="11">
                    <c:v>1288</c:v>
                  </c:pt>
                  <c:pt idx="12">
                    <c:v>1288</c:v>
                  </c:pt>
                  <c:pt idx="13">
                    <c:v>1295.3333333333333</c:v>
                  </c:pt>
                  <c:pt idx="14">
                    <c:v>1295.3333333333333</c:v>
                  </c:pt>
                  <c:pt idx="15">
                    <c:v>1295.3333333333333</c:v>
                  </c:pt>
                  <c:pt idx="16">
                    <c:v>1295.3333333333333</c:v>
                  </c:pt>
                  <c:pt idx="17">
                    <c:v>668.66666666666663</c:v>
                  </c:pt>
                  <c:pt idx="18">
                    <c:v>668.66666666666663</c:v>
                  </c:pt>
                  <c:pt idx="19">
                    <c:v>668.66666666666663</c:v>
                  </c:pt>
                  <c:pt idx="20">
                    <c:v>668.66666666666663</c:v>
                  </c:pt>
                </c:numCache>
              </c:numRef>
            </c:plus>
            <c:minus>
              <c:numRef>
                <c:f>Prueba02!$J$22:$J$70</c:f>
                <c:numCache>
                  <c:formatCode>General</c:formatCode>
                  <c:ptCount val="49"/>
                  <c:pt idx="0">
                    <c:v>1072.5</c:v>
                  </c:pt>
                  <c:pt idx="1">
                    <c:v>167.66666666666666</c:v>
                  </c:pt>
                  <c:pt idx="2">
                    <c:v>167.66666666666666</c:v>
                  </c:pt>
                  <c:pt idx="3">
                    <c:v>167.66666666666666</c:v>
                  </c:pt>
                  <c:pt idx="4">
                    <c:v>167.66666666666666</c:v>
                  </c:pt>
                  <c:pt idx="5">
                    <c:v>748</c:v>
                  </c:pt>
                  <c:pt idx="6">
                    <c:v>748</c:v>
                  </c:pt>
                  <c:pt idx="7">
                    <c:v>748</c:v>
                  </c:pt>
                  <c:pt idx="8">
                    <c:v>748</c:v>
                  </c:pt>
                  <c:pt idx="9">
                    <c:v>1288</c:v>
                  </c:pt>
                  <c:pt idx="10">
                    <c:v>1288</c:v>
                  </c:pt>
                  <c:pt idx="11">
                    <c:v>1288</c:v>
                  </c:pt>
                  <c:pt idx="12">
                    <c:v>1288</c:v>
                  </c:pt>
                  <c:pt idx="13">
                    <c:v>1295.3333333333333</c:v>
                  </c:pt>
                  <c:pt idx="14">
                    <c:v>1295.3333333333333</c:v>
                  </c:pt>
                  <c:pt idx="15">
                    <c:v>1295.3333333333333</c:v>
                  </c:pt>
                  <c:pt idx="16">
                    <c:v>1295.3333333333333</c:v>
                  </c:pt>
                  <c:pt idx="17">
                    <c:v>668.66666666666663</c:v>
                  </c:pt>
                  <c:pt idx="18">
                    <c:v>668.66666666666663</c:v>
                  </c:pt>
                  <c:pt idx="19">
                    <c:v>668.66666666666663</c:v>
                  </c:pt>
                  <c:pt idx="20">
                    <c:v>668.66666666666663</c:v>
                  </c:pt>
                </c:numCache>
              </c:numRef>
            </c:minus>
          </c:errBars>
          <c:xVal>
            <c:numRef>
              <c:f>Prueba02!$D$19:$D$42</c:f>
              <c:numCache>
                <c:formatCode>General</c:formatCode>
                <c:ptCount val="24"/>
                <c:pt idx="0">
                  <c:v>6672</c:v>
                </c:pt>
                <c:pt idx="1">
                  <c:v>6578</c:v>
                </c:pt>
                <c:pt idx="2">
                  <c:v>6578</c:v>
                </c:pt>
                <c:pt idx="3">
                  <c:v>6609.333333333333</c:v>
                </c:pt>
                <c:pt idx="4">
                  <c:v>1038</c:v>
                </c:pt>
                <c:pt idx="5">
                  <c:v>1024</c:v>
                </c:pt>
                <c:pt idx="6">
                  <c:v>1038</c:v>
                </c:pt>
                <c:pt idx="7">
                  <c:v>1033.3333333333333</c:v>
                </c:pt>
                <c:pt idx="8">
                  <c:v>6514</c:v>
                </c:pt>
                <c:pt idx="9">
                  <c:v>5026</c:v>
                </c:pt>
                <c:pt idx="10">
                  <c:v>4653</c:v>
                </c:pt>
                <c:pt idx="11">
                  <c:v>5397.666666666667</c:v>
                </c:pt>
                <c:pt idx="12">
                  <c:v>7600</c:v>
                </c:pt>
                <c:pt idx="13">
                  <c:v>7708</c:v>
                </c:pt>
                <c:pt idx="14">
                  <c:v>8325</c:v>
                </c:pt>
                <c:pt idx="15">
                  <c:v>7877.666666666667</c:v>
                </c:pt>
                <c:pt idx="16">
                  <c:v>8325</c:v>
                </c:pt>
                <c:pt idx="17">
                  <c:v>8325</c:v>
                </c:pt>
                <c:pt idx="18">
                  <c:v>8325</c:v>
                </c:pt>
                <c:pt idx="19">
                  <c:v>8325</c:v>
                </c:pt>
                <c:pt idx="20">
                  <c:v>7036</c:v>
                </c:pt>
                <c:pt idx="21">
                  <c:v>5943</c:v>
                </c:pt>
                <c:pt idx="22">
                  <c:v>6514</c:v>
                </c:pt>
                <c:pt idx="23">
                  <c:v>6497.666666666667</c:v>
                </c:pt>
              </c:numCache>
            </c:numRef>
          </c:xVal>
          <c:yVal>
            <c:numRef>
              <c:f>Prueba02!$C$19:$C$42</c:f>
              <c:numCache>
                <c:formatCode>General</c:formatCode>
                <c:ptCount val="24"/>
                <c:pt idx="0">
                  <c:v>6435</c:v>
                </c:pt>
                <c:pt idx="1">
                  <c:v>6435</c:v>
                </c:pt>
                <c:pt idx="2">
                  <c:v>6435</c:v>
                </c:pt>
                <c:pt idx="3">
                  <c:v>6435</c:v>
                </c:pt>
                <c:pt idx="4">
                  <c:v>1006</c:v>
                </c:pt>
                <c:pt idx="5">
                  <c:v>1006</c:v>
                </c:pt>
                <c:pt idx="6">
                  <c:v>1006</c:v>
                </c:pt>
                <c:pt idx="7">
                  <c:v>1006</c:v>
                </c:pt>
                <c:pt idx="8">
                  <c:v>4488</c:v>
                </c:pt>
                <c:pt idx="9">
                  <c:v>4488</c:v>
                </c:pt>
                <c:pt idx="10">
                  <c:v>4488</c:v>
                </c:pt>
                <c:pt idx="11">
                  <c:v>4488</c:v>
                </c:pt>
                <c:pt idx="12">
                  <c:v>7728</c:v>
                </c:pt>
                <c:pt idx="13">
                  <c:v>7728</c:v>
                </c:pt>
                <c:pt idx="14">
                  <c:v>7728</c:v>
                </c:pt>
                <c:pt idx="15">
                  <c:v>7728</c:v>
                </c:pt>
                <c:pt idx="16">
                  <c:v>7772</c:v>
                </c:pt>
                <c:pt idx="17">
                  <c:v>7772</c:v>
                </c:pt>
                <c:pt idx="18">
                  <c:v>7772</c:v>
                </c:pt>
                <c:pt idx="19">
                  <c:v>7772</c:v>
                </c:pt>
                <c:pt idx="20">
                  <c:v>4012</c:v>
                </c:pt>
                <c:pt idx="21">
                  <c:v>4012</c:v>
                </c:pt>
                <c:pt idx="22">
                  <c:v>4012</c:v>
                </c:pt>
                <c:pt idx="23">
                  <c:v>4012</c:v>
                </c:pt>
              </c:numCache>
            </c:numRef>
          </c:yVal>
        </c:ser>
        <c:ser>
          <c:idx val="1"/>
          <c:order val="1"/>
          <c:spPr>
            <a:ln>
              <a:solidFill>
                <a:schemeClr val="accent2"/>
              </a:solidFill>
            </a:ln>
          </c:spPr>
          <c:marker>
            <c:symbol val="x"/>
            <c:size val="7"/>
            <c:spPr>
              <a:noFill/>
            </c:spPr>
          </c:marker>
          <c:xVal>
            <c:numRef>
              <c:f>Prueba02!$C$19:$C$42</c:f>
              <c:numCache>
                <c:formatCode>General</c:formatCode>
                <c:ptCount val="24"/>
                <c:pt idx="0">
                  <c:v>6435</c:v>
                </c:pt>
                <c:pt idx="1">
                  <c:v>6435</c:v>
                </c:pt>
                <c:pt idx="2">
                  <c:v>6435</c:v>
                </c:pt>
                <c:pt idx="3">
                  <c:v>6435</c:v>
                </c:pt>
                <c:pt idx="4">
                  <c:v>1006</c:v>
                </c:pt>
                <c:pt idx="5">
                  <c:v>1006</c:v>
                </c:pt>
                <c:pt idx="6">
                  <c:v>1006</c:v>
                </c:pt>
                <c:pt idx="7">
                  <c:v>1006</c:v>
                </c:pt>
                <c:pt idx="8">
                  <c:v>4488</c:v>
                </c:pt>
                <c:pt idx="9">
                  <c:v>4488</c:v>
                </c:pt>
                <c:pt idx="10">
                  <c:v>4488</c:v>
                </c:pt>
                <c:pt idx="11">
                  <c:v>4488</c:v>
                </c:pt>
                <c:pt idx="12">
                  <c:v>7728</c:v>
                </c:pt>
                <c:pt idx="13">
                  <c:v>7728</c:v>
                </c:pt>
                <c:pt idx="14">
                  <c:v>7728</c:v>
                </c:pt>
                <c:pt idx="15">
                  <c:v>7728</c:v>
                </c:pt>
                <c:pt idx="16">
                  <c:v>7772</c:v>
                </c:pt>
                <c:pt idx="17">
                  <c:v>7772</c:v>
                </c:pt>
                <c:pt idx="18">
                  <c:v>7772</c:v>
                </c:pt>
                <c:pt idx="19">
                  <c:v>7772</c:v>
                </c:pt>
                <c:pt idx="20">
                  <c:v>4012</c:v>
                </c:pt>
                <c:pt idx="21">
                  <c:v>4012</c:v>
                </c:pt>
                <c:pt idx="22">
                  <c:v>4012</c:v>
                </c:pt>
                <c:pt idx="23">
                  <c:v>4012</c:v>
                </c:pt>
              </c:numCache>
            </c:numRef>
          </c:xVal>
          <c:yVal>
            <c:numRef>
              <c:f>Prueba02!$C$19:$C$42</c:f>
              <c:numCache>
                <c:formatCode>General</c:formatCode>
                <c:ptCount val="24"/>
                <c:pt idx="0">
                  <c:v>6435</c:v>
                </c:pt>
                <c:pt idx="1">
                  <c:v>6435</c:v>
                </c:pt>
                <c:pt idx="2">
                  <c:v>6435</c:v>
                </c:pt>
                <c:pt idx="3">
                  <c:v>6435</c:v>
                </c:pt>
                <c:pt idx="4">
                  <c:v>1006</c:v>
                </c:pt>
                <c:pt idx="5">
                  <c:v>1006</c:v>
                </c:pt>
                <c:pt idx="6">
                  <c:v>1006</c:v>
                </c:pt>
                <c:pt idx="7">
                  <c:v>1006</c:v>
                </c:pt>
                <c:pt idx="8">
                  <c:v>4488</c:v>
                </c:pt>
                <c:pt idx="9">
                  <c:v>4488</c:v>
                </c:pt>
                <c:pt idx="10">
                  <c:v>4488</c:v>
                </c:pt>
                <c:pt idx="11">
                  <c:v>4488</c:v>
                </c:pt>
                <c:pt idx="12">
                  <c:v>7728</c:v>
                </c:pt>
                <c:pt idx="13">
                  <c:v>7728</c:v>
                </c:pt>
                <c:pt idx="14">
                  <c:v>7728</c:v>
                </c:pt>
                <c:pt idx="15">
                  <c:v>7728</c:v>
                </c:pt>
                <c:pt idx="16">
                  <c:v>7772</c:v>
                </c:pt>
                <c:pt idx="17">
                  <c:v>7772</c:v>
                </c:pt>
                <c:pt idx="18">
                  <c:v>7772</c:v>
                </c:pt>
                <c:pt idx="19">
                  <c:v>7772</c:v>
                </c:pt>
                <c:pt idx="20">
                  <c:v>4012</c:v>
                </c:pt>
                <c:pt idx="21">
                  <c:v>4012</c:v>
                </c:pt>
                <c:pt idx="22">
                  <c:v>4012</c:v>
                </c:pt>
                <c:pt idx="23">
                  <c:v>4012</c:v>
                </c:pt>
              </c:numCache>
            </c:numRef>
          </c:yVal>
        </c:ser>
        <c:axId val="192685952"/>
        <c:axId val="192708992"/>
      </c:scatterChart>
      <c:valAx>
        <c:axId val="192685952"/>
        <c:scaling>
          <c:orientation val="minMax"/>
          <c:max val="9000"/>
          <c:min val="0"/>
        </c:scaling>
        <c:axPos val="b"/>
        <c:title>
          <c:tx>
            <c:rich>
              <a:bodyPr/>
              <a:lstStyle/>
              <a:p>
                <a:pPr>
                  <a:defRPr/>
                </a:pPr>
                <a:r>
                  <a:rPr lang="es-ES"/>
                  <a:t>Frecuencia</a:t>
                </a:r>
                <a:r>
                  <a:rPr lang="es-ES" baseline="0"/>
                  <a:t> medida</a:t>
                </a:r>
                <a:endParaRPr lang="es-ES"/>
              </a:p>
            </c:rich>
          </c:tx>
          <c:layout/>
        </c:title>
        <c:numFmt formatCode="General" sourceLinked="1"/>
        <c:tickLblPos val="nextTo"/>
        <c:crossAx val="192708992"/>
        <c:crosses val="autoZero"/>
        <c:crossBetween val="midCat"/>
      </c:valAx>
      <c:valAx>
        <c:axId val="192708992"/>
        <c:scaling>
          <c:orientation val="minMax"/>
          <c:min val="0"/>
        </c:scaling>
        <c:axPos val="l"/>
        <c:majorGridlines/>
        <c:title>
          <c:tx>
            <c:rich>
              <a:bodyPr rot="-5400000" vert="horz"/>
              <a:lstStyle/>
              <a:p>
                <a:pPr>
                  <a:defRPr/>
                </a:pPr>
                <a:r>
                  <a:rPr lang="es-ES"/>
                  <a:t>Frecuencia</a:t>
                </a:r>
                <a:r>
                  <a:rPr lang="es-ES" baseline="0"/>
                  <a:t> real</a:t>
                </a:r>
                <a:endParaRPr lang="es-ES"/>
              </a:p>
            </c:rich>
          </c:tx>
          <c:layout/>
        </c:title>
        <c:numFmt formatCode="General" sourceLinked="1"/>
        <c:tickLblPos val="nextTo"/>
        <c:crossAx val="192685952"/>
        <c:crosses val="autoZero"/>
        <c:crossBetween val="midCat"/>
      </c:valAx>
      <c:spPr>
        <a:ln>
          <a:noFill/>
        </a:ln>
      </c:spPr>
    </c:plotArea>
    <c:legend>
      <c:legendPos val="r"/>
      <c:layout>
        <c:manualLayout>
          <c:xMode val="edge"/>
          <c:yMode val="edge"/>
          <c:x val="0.84599680046252224"/>
          <c:y val="1.5049834456967467E-2"/>
          <c:w val="0.13334424106077691"/>
          <c:h val="0.10821611840710246"/>
        </c:manualLayout>
      </c:layout>
      <c:overlay val="1"/>
    </c:legend>
    <c:plotVisOnly val="1"/>
  </c:chart>
  <c:printSettings>
    <c:headerFooter/>
    <c:pageMargins b="0.75000000000000222" l="0.70000000000000062" r="0.70000000000000062" t="0.7500000000000022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Ajuste nivel sonoro</a:t>
            </a:r>
          </a:p>
        </c:rich>
      </c:tx>
      <c:layout/>
    </c:title>
    <c:plotArea>
      <c:layout/>
      <c:scatterChart>
        <c:scatterStyle val="lineMarker"/>
        <c:ser>
          <c:idx val="0"/>
          <c:order val="0"/>
          <c:spPr>
            <a:ln>
              <a:noFill/>
            </a:ln>
          </c:spPr>
          <c:dLbls>
            <c:dLblPos val="t"/>
            <c:showVal val="1"/>
          </c:dLbls>
          <c:errBars>
            <c:errDir val="x"/>
            <c:errBarType val="both"/>
            <c:errValType val="cust"/>
            <c:plus>
              <c:numRef>
                <c:f>Prueba02!$H$22:$H$70</c:f>
                <c:numCache>
                  <c:formatCode>General</c:formatCode>
                  <c:ptCount val="49"/>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numCache>
              </c:numRef>
            </c:plus>
            <c:minus>
              <c:numRef>
                <c:f>Prueba02!$H$22:$H$70</c:f>
                <c:numCache>
                  <c:formatCode>General</c:formatCode>
                  <c:ptCount val="49"/>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numCache>
              </c:numRef>
            </c:minus>
          </c:errBars>
          <c:errBars>
            <c:errDir val="y"/>
            <c:errBarType val="both"/>
            <c:errValType val="cust"/>
            <c:plus>
              <c:numRef>
                <c:f>Prueba02!$H$22:$H$70</c:f>
                <c:numCache>
                  <c:formatCode>General</c:formatCode>
                  <c:ptCount val="49"/>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numCache>
              </c:numRef>
            </c:plus>
            <c:minus>
              <c:numRef>
                <c:f>Prueba02!$H$22:$H$70</c:f>
                <c:numCache>
                  <c:formatCode>General</c:formatCode>
                  <c:ptCount val="49"/>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numCache>
              </c:numRef>
            </c:minus>
          </c:errBars>
          <c:xVal>
            <c:numRef>
              <c:f>Prueba02!$F$19:$F$42</c:f>
              <c:numCache>
                <c:formatCode>General</c:formatCode>
                <c:ptCount val="24"/>
                <c:pt idx="0">
                  <c:v>47</c:v>
                </c:pt>
                <c:pt idx="1">
                  <c:v>49</c:v>
                </c:pt>
                <c:pt idx="2">
                  <c:v>51</c:v>
                </c:pt>
                <c:pt idx="3">
                  <c:v>49</c:v>
                </c:pt>
                <c:pt idx="4">
                  <c:v>41</c:v>
                </c:pt>
                <c:pt idx="5">
                  <c:v>49</c:v>
                </c:pt>
                <c:pt idx="6">
                  <c:v>46</c:v>
                </c:pt>
                <c:pt idx="7">
                  <c:v>45.333333333333336</c:v>
                </c:pt>
                <c:pt idx="8">
                  <c:v>42</c:v>
                </c:pt>
                <c:pt idx="9">
                  <c:v>45</c:v>
                </c:pt>
                <c:pt idx="10">
                  <c:v>38</c:v>
                </c:pt>
                <c:pt idx="11">
                  <c:v>41.666666666666664</c:v>
                </c:pt>
                <c:pt idx="12">
                  <c:v>55</c:v>
                </c:pt>
                <c:pt idx="13">
                  <c:v>58</c:v>
                </c:pt>
                <c:pt idx="14">
                  <c:v>59</c:v>
                </c:pt>
                <c:pt idx="15">
                  <c:v>57.333333333333336</c:v>
                </c:pt>
                <c:pt idx="16">
                  <c:v>28</c:v>
                </c:pt>
                <c:pt idx="17">
                  <c:v>28</c:v>
                </c:pt>
                <c:pt idx="18">
                  <c:v>29</c:v>
                </c:pt>
                <c:pt idx="19">
                  <c:v>28.333333333333332</c:v>
                </c:pt>
                <c:pt idx="20">
                  <c:v>55</c:v>
                </c:pt>
                <c:pt idx="21">
                  <c:v>58</c:v>
                </c:pt>
                <c:pt idx="22">
                  <c:v>57</c:v>
                </c:pt>
                <c:pt idx="23">
                  <c:v>56.666666666666664</c:v>
                </c:pt>
              </c:numCache>
            </c:numRef>
          </c:xVal>
          <c:yVal>
            <c:numRef>
              <c:f>Prueba02!$E$19:$E$42</c:f>
              <c:numCache>
                <c:formatCode>General</c:formatCode>
                <c:ptCount val="24"/>
                <c:pt idx="0">
                  <c:v>51.3</c:v>
                </c:pt>
                <c:pt idx="1">
                  <c:v>51.3</c:v>
                </c:pt>
                <c:pt idx="2">
                  <c:v>51.3</c:v>
                </c:pt>
                <c:pt idx="3">
                  <c:v>51.29999999999999</c:v>
                </c:pt>
                <c:pt idx="4">
                  <c:v>47</c:v>
                </c:pt>
                <c:pt idx="5">
                  <c:v>47</c:v>
                </c:pt>
                <c:pt idx="6">
                  <c:v>47</c:v>
                </c:pt>
                <c:pt idx="7">
                  <c:v>47</c:v>
                </c:pt>
                <c:pt idx="8">
                  <c:v>34.700000000000003</c:v>
                </c:pt>
                <c:pt idx="9">
                  <c:v>34.700000000000003</c:v>
                </c:pt>
                <c:pt idx="10">
                  <c:v>34.700000000000003</c:v>
                </c:pt>
                <c:pt idx="11">
                  <c:v>34.700000000000003</c:v>
                </c:pt>
                <c:pt idx="12">
                  <c:v>58.5</c:v>
                </c:pt>
                <c:pt idx="13">
                  <c:v>58.5</c:v>
                </c:pt>
                <c:pt idx="14">
                  <c:v>58.5</c:v>
                </c:pt>
                <c:pt idx="15">
                  <c:v>58.5</c:v>
                </c:pt>
                <c:pt idx="16">
                  <c:v>30.5</c:v>
                </c:pt>
                <c:pt idx="17">
                  <c:v>30.5</c:v>
                </c:pt>
                <c:pt idx="18">
                  <c:v>30.5</c:v>
                </c:pt>
                <c:pt idx="19">
                  <c:v>30.5</c:v>
                </c:pt>
                <c:pt idx="20">
                  <c:v>58.5</c:v>
                </c:pt>
                <c:pt idx="21">
                  <c:v>58.5</c:v>
                </c:pt>
                <c:pt idx="22">
                  <c:v>58.5</c:v>
                </c:pt>
                <c:pt idx="23">
                  <c:v>58.5</c:v>
                </c:pt>
              </c:numCache>
            </c:numRef>
          </c:yVal>
        </c:ser>
        <c:ser>
          <c:idx val="1"/>
          <c:order val="1"/>
          <c:marker>
            <c:symbol val="x"/>
            <c:size val="8"/>
          </c:marker>
          <c:xVal>
            <c:numRef>
              <c:f>Prueba02!$E$19:$E$42</c:f>
              <c:numCache>
                <c:formatCode>General</c:formatCode>
                <c:ptCount val="24"/>
                <c:pt idx="0">
                  <c:v>51.3</c:v>
                </c:pt>
                <c:pt idx="1">
                  <c:v>51.3</c:v>
                </c:pt>
                <c:pt idx="2">
                  <c:v>51.3</c:v>
                </c:pt>
                <c:pt idx="3">
                  <c:v>51.29999999999999</c:v>
                </c:pt>
                <c:pt idx="4">
                  <c:v>47</c:v>
                </c:pt>
                <c:pt idx="5">
                  <c:v>47</c:v>
                </c:pt>
                <c:pt idx="6">
                  <c:v>47</c:v>
                </c:pt>
                <c:pt idx="7">
                  <c:v>47</c:v>
                </c:pt>
                <c:pt idx="8">
                  <c:v>34.700000000000003</c:v>
                </c:pt>
                <c:pt idx="9">
                  <c:v>34.700000000000003</c:v>
                </c:pt>
                <c:pt idx="10">
                  <c:v>34.700000000000003</c:v>
                </c:pt>
                <c:pt idx="11">
                  <c:v>34.700000000000003</c:v>
                </c:pt>
                <c:pt idx="12">
                  <c:v>58.5</c:v>
                </c:pt>
                <c:pt idx="13">
                  <c:v>58.5</c:v>
                </c:pt>
                <c:pt idx="14">
                  <c:v>58.5</c:v>
                </c:pt>
                <c:pt idx="15">
                  <c:v>58.5</c:v>
                </c:pt>
                <c:pt idx="16">
                  <c:v>30.5</c:v>
                </c:pt>
                <c:pt idx="17">
                  <c:v>30.5</c:v>
                </c:pt>
                <c:pt idx="18">
                  <c:v>30.5</c:v>
                </c:pt>
                <c:pt idx="19">
                  <c:v>30.5</c:v>
                </c:pt>
                <c:pt idx="20">
                  <c:v>58.5</c:v>
                </c:pt>
                <c:pt idx="21">
                  <c:v>58.5</c:v>
                </c:pt>
                <c:pt idx="22">
                  <c:v>58.5</c:v>
                </c:pt>
                <c:pt idx="23">
                  <c:v>58.5</c:v>
                </c:pt>
              </c:numCache>
            </c:numRef>
          </c:xVal>
          <c:yVal>
            <c:numRef>
              <c:f>Prueba02!$E$19:$E$42</c:f>
              <c:numCache>
                <c:formatCode>General</c:formatCode>
                <c:ptCount val="24"/>
                <c:pt idx="0">
                  <c:v>51.3</c:v>
                </c:pt>
                <c:pt idx="1">
                  <c:v>51.3</c:v>
                </c:pt>
                <c:pt idx="2">
                  <c:v>51.3</c:v>
                </c:pt>
                <c:pt idx="3">
                  <c:v>51.29999999999999</c:v>
                </c:pt>
                <c:pt idx="4">
                  <c:v>47</c:v>
                </c:pt>
                <c:pt idx="5">
                  <c:v>47</c:v>
                </c:pt>
                <c:pt idx="6">
                  <c:v>47</c:v>
                </c:pt>
                <c:pt idx="7">
                  <c:v>47</c:v>
                </c:pt>
                <c:pt idx="8">
                  <c:v>34.700000000000003</c:v>
                </c:pt>
                <c:pt idx="9">
                  <c:v>34.700000000000003</c:v>
                </c:pt>
                <c:pt idx="10">
                  <c:v>34.700000000000003</c:v>
                </c:pt>
                <c:pt idx="11">
                  <c:v>34.700000000000003</c:v>
                </c:pt>
                <c:pt idx="12">
                  <c:v>58.5</c:v>
                </c:pt>
                <c:pt idx="13">
                  <c:v>58.5</c:v>
                </c:pt>
                <c:pt idx="14">
                  <c:v>58.5</c:v>
                </c:pt>
                <c:pt idx="15">
                  <c:v>58.5</c:v>
                </c:pt>
                <c:pt idx="16">
                  <c:v>30.5</c:v>
                </c:pt>
                <c:pt idx="17">
                  <c:v>30.5</c:v>
                </c:pt>
                <c:pt idx="18">
                  <c:v>30.5</c:v>
                </c:pt>
                <c:pt idx="19">
                  <c:v>30.5</c:v>
                </c:pt>
                <c:pt idx="20">
                  <c:v>58.5</c:v>
                </c:pt>
                <c:pt idx="21">
                  <c:v>58.5</c:v>
                </c:pt>
                <c:pt idx="22">
                  <c:v>58.5</c:v>
                </c:pt>
                <c:pt idx="23">
                  <c:v>58.5</c:v>
                </c:pt>
              </c:numCache>
            </c:numRef>
          </c:yVal>
        </c:ser>
        <c:axId val="192891136"/>
        <c:axId val="192897408"/>
      </c:scatterChart>
      <c:valAx>
        <c:axId val="192891136"/>
        <c:scaling>
          <c:orientation val="minMax"/>
          <c:min val="25"/>
        </c:scaling>
        <c:axPos val="b"/>
        <c:title>
          <c:tx>
            <c:rich>
              <a:bodyPr/>
              <a:lstStyle/>
              <a:p>
                <a:pPr>
                  <a:defRPr/>
                </a:pPr>
                <a:r>
                  <a:rPr lang="es-ES"/>
                  <a:t>dB nivel sonoro medido</a:t>
                </a:r>
              </a:p>
            </c:rich>
          </c:tx>
          <c:layout/>
        </c:title>
        <c:numFmt formatCode="General" sourceLinked="1"/>
        <c:tickLblPos val="nextTo"/>
        <c:crossAx val="192897408"/>
        <c:crosses val="autoZero"/>
        <c:crossBetween val="midCat"/>
      </c:valAx>
      <c:valAx>
        <c:axId val="192897408"/>
        <c:scaling>
          <c:orientation val="minMax"/>
          <c:min val="25"/>
        </c:scaling>
        <c:axPos val="l"/>
        <c:majorGridlines/>
        <c:title>
          <c:tx>
            <c:rich>
              <a:bodyPr rot="-5400000" vert="horz"/>
              <a:lstStyle/>
              <a:p>
                <a:pPr>
                  <a:defRPr/>
                </a:pPr>
                <a:r>
                  <a:rPr lang="es-ES"/>
                  <a:t>dB nivel sonoro real</a:t>
                </a:r>
              </a:p>
            </c:rich>
          </c:tx>
          <c:layout/>
        </c:title>
        <c:numFmt formatCode="General" sourceLinked="1"/>
        <c:tickLblPos val="nextTo"/>
        <c:crossAx val="192891136"/>
        <c:crosses val="autoZero"/>
        <c:crossBetween val="midCat"/>
      </c:valAx>
      <c:spPr>
        <a:ln>
          <a:noFill/>
        </a:ln>
      </c:spPr>
    </c:plotArea>
    <c:legend>
      <c:legendPos val="r"/>
      <c:layout>
        <c:manualLayout>
          <c:xMode val="edge"/>
          <c:yMode val="edge"/>
          <c:x val="0.84456834709332751"/>
          <c:y val="4.0102823372674956E-2"/>
          <c:w val="0.11801731680091682"/>
          <c:h val="0.11121102943312899"/>
        </c:manualLayout>
      </c:layout>
      <c:overlay val="1"/>
    </c:legend>
    <c:plotVisOnly val="1"/>
  </c:chart>
  <c:printSettings>
    <c:headerFooter/>
    <c:pageMargins b="0.75000000000000289" l="0.70000000000000062" r="0.70000000000000062" t="0.750000000000002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Ajuste serie teorica</a:t>
            </a:r>
            <a:r>
              <a:rPr lang="es-ES" baseline="0"/>
              <a:t> y simulada</a:t>
            </a:r>
            <a:endParaRPr lang="es-ES"/>
          </a:p>
        </c:rich>
      </c:tx>
      <c:layout>
        <c:manualLayout>
          <c:xMode val="edge"/>
          <c:yMode val="edge"/>
          <c:x val="0.28872294372294555"/>
          <c:y val="2.6929982046678635E-2"/>
        </c:manualLayout>
      </c:layout>
    </c:title>
    <c:plotArea>
      <c:layout>
        <c:manualLayout>
          <c:layoutTarget val="inner"/>
          <c:xMode val="edge"/>
          <c:yMode val="edge"/>
          <c:x val="0.10369288989882976"/>
          <c:y val="0.10591050439347255"/>
          <c:w val="0.86435804165419228"/>
          <c:h val="0.71085910456845325"/>
        </c:manualLayout>
      </c:layout>
      <c:scatterChart>
        <c:scatterStyle val="lineMarker"/>
        <c:ser>
          <c:idx val="0"/>
          <c:order val="0"/>
          <c:spPr>
            <a:ln>
              <a:noFill/>
            </a:ln>
          </c:spPr>
          <c:xVal>
            <c:numRef>
              <c:f>Prueba02!$D$19:$D$42</c:f>
              <c:numCache>
                <c:formatCode>General</c:formatCode>
                <c:ptCount val="24"/>
                <c:pt idx="0">
                  <c:v>6672</c:v>
                </c:pt>
                <c:pt idx="1">
                  <c:v>6578</c:v>
                </c:pt>
                <c:pt idx="2">
                  <c:v>6578</c:v>
                </c:pt>
                <c:pt idx="3">
                  <c:v>6609.333333333333</c:v>
                </c:pt>
                <c:pt idx="4">
                  <c:v>1038</c:v>
                </c:pt>
                <c:pt idx="5">
                  <c:v>1024</c:v>
                </c:pt>
                <c:pt idx="6">
                  <c:v>1038</c:v>
                </c:pt>
                <c:pt idx="7">
                  <c:v>1033.3333333333333</c:v>
                </c:pt>
                <c:pt idx="8">
                  <c:v>6514</c:v>
                </c:pt>
                <c:pt idx="9">
                  <c:v>5026</c:v>
                </c:pt>
                <c:pt idx="10">
                  <c:v>4653</c:v>
                </c:pt>
                <c:pt idx="11">
                  <c:v>5397.666666666667</c:v>
                </c:pt>
                <c:pt idx="12">
                  <c:v>7600</c:v>
                </c:pt>
                <c:pt idx="13">
                  <c:v>7708</c:v>
                </c:pt>
                <c:pt idx="14">
                  <c:v>8325</c:v>
                </c:pt>
                <c:pt idx="15">
                  <c:v>7877.666666666667</c:v>
                </c:pt>
                <c:pt idx="16">
                  <c:v>8325</c:v>
                </c:pt>
                <c:pt idx="17">
                  <c:v>8325</c:v>
                </c:pt>
                <c:pt idx="18">
                  <c:v>8325</c:v>
                </c:pt>
                <c:pt idx="19">
                  <c:v>8325</c:v>
                </c:pt>
                <c:pt idx="20">
                  <c:v>7036</c:v>
                </c:pt>
                <c:pt idx="21">
                  <c:v>5943</c:v>
                </c:pt>
                <c:pt idx="22">
                  <c:v>6514</c:v>
                </c:pt>
                <c:pt idx="23">
                  <c:v>6497.666666666667</c:v>
                </c:pt>
              </c:numCache>
            </c:numRef>
          </c:xVal>
          <c:yVal>
            <c:numRef>
              <c:f>Prueba02!$F$19:$F$42</c:f>
              <c:numCache>
                <c:formatCode>General</c:formatCode>
                <c:ptCount val="24"/>
                <c:pt idx="0">
                  <c:v>47</c:v>
                </c:pt>
                <c:pt idx="1">
                  <c:v>49</c:v>
                </c:pt>
                <c:pt idx="2">
                  <c:v>51</c:v>
                </c:pt>
                <c:pt idx="3">
                  <c:v>49</c:v>
                </c:pt>
                <c:pt idx="4">
                  <c:v>41</c:v>
                </c:pt>
                <c:pt idx="5">
                  <c:v>49</c:v>
                </c:pt>
                <c:pt idx="6">
                  <c:v>46</c:v>
                </c:pt>
                <c:pt idx="7">
                  <c:v>45.333333333333336</c:v>
                </c:pt>
                <c:pt idx="8">
                  <c:v>42</c:v>
                </c:pt>
                <c:pt idx="9">
                  <c:v>45</c:v>
                </c:pt>
                <c:pt idx="10">
                  <c:v>38</c:v>
                </c:pt>
                <c:pt idx="11">
                  <c:v>41.666666666666664</c:v>
                </c:pt>
                <c:pt idx="12">
                  <c:v>55</c:v>
                </c:pt>
                <c:pt idx="13">
                  <c:v>58</c:v>
                </c:pt>
                <c:pt idx="14">
                  <c:v>59</c:v>
                </c:pt>
                <c:pt idx="15">
                  <c:v>57.333333333333336</c:v>
                </c:pt>
                <c:pt idx="16">
                  <c:v>28</c:v>
                </c:pt>
                <c:pt idx="17">
                  <c:v>28</c:v>
                </c:pt>
                <c:pt idx="18">
                  <c:v>29</c:v>
                </c:pt>
                <c:pt idx="19">
                  <c:v>28.333333333333332</c:v>
                </c:pt>
                <c:pt idx="20">
                  <c:v>55</c:v>
                </c:pt>
                <c:pt idx="21">
                  <c:v>58</c:v>
                </c:pt>
                <c:pt idx="22">
                  <c:v>57</c:v>
                </c:pt>
                <c:pt idx="23">
                  <c:v>56.666666666666664</c:v>
                </c:pt>
              </c:numCache>
            </c:numRef>
          </c:yVal>
        </c:ser>
        <c:ser>
          <c:idx val="1"/>
          <c:order val="1"/>
          <c:spPr>
            <a:ln>
              <a:noFill/>
            </a:ln>
          </c:spPr>
          <c:marker>
            <c:symbol val="x"/>
            <c:size val="7"/>
            <c:spPr>
              <a:noFill/>
            </c:spPr>
          </c:marker>
          <c:xVal>
            <c:numRef>
              <c:f>Prueba02!$C$19:$C$42</c:f>
              <c:numCache>
                <c:formatCode>General</c:formatCode>
                <c:ptCount val="24"/>
                <c:pt idx="0">
                  <c:v>6435</c:v>
                </c:pt>
                <c:pt idx="1">
                  <c:v>6435</c:v>
                </c:pt>
                <c:pt idx="2">
                  <c:v>6435</c:v>
                </c:pt>
                <c:pt idx="3">
                  <c:v>6435</c:v>
                </c:pt>
                <c:pt idx="4">
                  <c:v>1006</c:v>
                </c:pt>
                <c:pt idx="5">
                  <c:v>1006</c:v>
                </c:pt>
                <c:pt idx="6">
                  <c:v>1006</c:v>
                </c:pt>
                <c:pt idx="7">
                  <c:v>1006</c:v>
                </c:pt>
                <c:pt idx="8">
                  <c:v>4488</c:v>
                </c:pt>
                <c:pt idx="9">
                  <c:v>4488</c:v>
                </c:pt>
                <c:pt idx="10">
                  <c:v>4488</c:v>
                </c:pt>
                <c:pt idx="11">
                  <c:v>4488</c:v>
                </c:pt>
                <c:pt idx="12">
                  <c:v>7728</c:v>
                </c:pt>
                <c:pt idx="13">
                  <c:v>7728</c:v>
                </c:pt>
                <c:pt idx="14">
                  <c:v>7728</c:v>
                </c:pt>
                <c:pt idx="15">
                  <c:v>7728</c:v>
                </c:pt>
                <c:pt idx="16">
                  <c:v>7772</c:v>
                </c:pt>
                <c:pt idx="17">
                  <c:v>7772</c:v>
                </c:pt>
                <c:pt idx="18">
                  <c:v>7772</c:v>
                </c:pt>
                <c:pt idx="19">
                  <c:v>7772</c:v>
                </c:pt>
                <c:pt idx="20">
                  <c:v>4012</c:v>
                </c:pt>
                <c:pt idx="21">
                  <c:v>4012</c:v>
                </c:pt>
                <c:pt idx="22">
                  <c:v>4012</c:v>
                </c:pt>
                <c:pt idx="23">
                  <c:v>4012</c:v>
                </c:pt>
              </c:numCache>
            </c:numRef>
          </c:xVal>
          <c:yVal>
            <c:numRef>
              <c:f>Prueba02!$E$19:$E$42</c:f>
              <c:numCache>
                <c:formatCode>General</c:formatCode>
                <c:ptCount val="24"/>
                <c:pt idx="0">
                  <c:v>51.3</c:v>
                </c:pt>
                <c:pt idx="1">
                  <c:v>51.3</c:v>
                </c:pt>
                <c:pt idx="2">
                  <c:v>51.3</c:v>
                </c:pt>
                <c:pt idx="3">
                  <c:v>51.29999999999999</c:v>
                </c:pt>
                <c:pt idx="4">
                  <c:v>47</c:v>
                </c:pt>
                <c:pt idx="5">
                  <c:v>47</c:v>
                </c:pt>
                <c:pt idx="6">
                  <c:v>47</c:v>
                </c:pt>
                <c:pt idx="7">
                  <c:v>47</c:v>
                </c:pt>
                <c:pt idx="8">
                  <c:v>34.700000000000003</c:v>
                </c:pt>
                <c:pt idx="9">
                  <c:v>34.700000000000003</c:v>
                </c:pt>
                <c:pt idx="10">
                  <c:v>34.700000000000003</c:v>
                </c:pt>
                <c:pt idx="11">
                  <c:v>34.700000000000003</c:v>
                </c:pt>
                <c:pt idx="12">
                  <c:v>58.5</c:v>
                </c:pt>
                <c:pt idx="13">
                  <c:v>58.5</c:v>
                </c:pt>
                <c:pt idx="14">
                  <c:v>58.5</c:v>
                </c:pt>
                <c:pt idx="15">
                  <c:v>58.5</c:v>
                </c:pt>
                <c:pt idx="16">
                  <c:v>30.5</c:v>
                </c:pt>
                <c:pt idx="17">
                  <c:v>30.5</c:v>
                </c:pt>
                <c:pt idx="18">
                  <c:v>30.5</c:v>
                </c:pt>
                <c:pt idx="19">
                  <c:v>30.5</c:v>
                </c:pt>
                <c:pt idx="20">
                  <c:v>58.5</c:v>
                </c:pt>
                <c:pt idx="21">
                  <c:v>58.5</c:v>
                </c:pt>
                <c:pt idx="22">
                  <c:v>58.5</c:v>
                </c:pt>
                <c:pt idx="23">
                  <c:v>58.5</c:v>
                </c:pt>
              </c:numCache>
            </c:numRef>
          </c:yVal>
        </c:ser>
        <c:axId val="192930560"/>
        <c:axId val="192932864"/>
      </c:scatterChart>
      <c:valAx>
        <c:axId val="192930560"/>
        <c:scaling>
          <c:orientation val="minMax"/>
          <c:max val="9000"/>
        </c:scaling>
        <c:axPos val="b"/>
        <c:title>
          <c:tx>
            <c:rich>
              <a:bodyPr/>
              <a:lstStyle/>
              <a:p>
                <a:pPr>
                  <a:defRPr/>
                </a:pPr>
                <a:r>
                  <a:rPr lang="es-ES"/>
                  <a:t>Frecuencia</a:t>
                </a:r>
              </a:p>
            </c:rich>
          </c:tx>
          <c:layout/>
        </c:title>
        <c:numFmt formatCode="General" sourceLinked="1"/>
        <c:tickLblPos val="nextTo"/>
        <c:crossAx val="192932864"/>
        <c:crosses val="autoZero"/>
        <c:crossBetween val="midCat"/>
      </c:valAx>
      <c:valAx>
        <c:axId val="192932864"/>
        <c:scaling>
          <c:orientation val="minMax"/>
          <c:min val="24"/>
        </c:scaling>
        <c:axPos val="l"/>
        <c:majorGridlines/>
        <c:title>
          <c:tx>
            <c:rich>
              <a:bodyPr rot="-5400000" vert="horz"/>
              <a:lstStyle/>
              <a:p>
                <a:pPr>
                  <a:defRPr/>
                </a:pPr>
                <a:r>
                  <a:rPr lang="es-ES"/>
                  <a:t>Nivel sonoro dB</a:t>
                </a:r>
              </a:p>
            </c:rich>
          </c:tx>
          <c:layout/>
        </c:title>
        <c:numFmt formatCode="General" sourceLinked="1"/>
        <c:tickLblPos val="nextTo"/>
        <c:crossAx val="192930560"/>
        <c:crosses val="autoZero"/>
        <c:crossBetween val="midCat"/>
      </c:valAx>
      <c:spPr>
        <a:ln>
          <a:noFill/>
        </a:ln>
      </c:spPr>
    </c:plotArea>
    <c:legend>
      <c:legendPos val="r"/>
      <c:layout>
        <c:manualLayout>
          <c:xMode val="edge"/>
          <c:yMode val="edge"/>
          <c:x val="0.84421890229500784"/>
          <c:y val="2.0868714940044278E-3"/>
          <c:w val="0.13334424106077691"/>
          <c:h val="0.10821611840710253"/>
        </c:manualLayout>
      </c:layout>
      <c:overlay val="1"/>
    </c:legend>
    <c:plotVisOnly val="1"/>
  </c:chart>
  <c:printSettings>
    <c:headerFooter/>
    <c:pageMargins b="0.75000000000000266" l="0.70000000000000062" r="0.70000000000000062" t="0.75000000000000266"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8</xdr:col>
      <xdr:colOff>671407</xdr:colOff>
      <xdr:row>51</xdr:row>
      <xdr:rowOff>72814</xdr:rowOff>
    </xdr:from>
    <xdr:to>
      <xdr:col>16</xdr:col>
      <xdr:colOff>43180</xdr:colOff>
      <xdr:row>74</xdr:row>
      <xdr:rowOff>110913</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666327</xdr:colOff>
      <xdr:row>51</xdr:row>
      <xdr:rowOff>44874</xdr:rowOff>
    </xdr:from>
    <xdr:to>
      <xdr:col>8</xdr:col>
      <xdr:colOff>511387</xdr:colOff>
      <xdr:row>73</xdr:row>
      <xdr:rowOff>160020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204047</xdr:colOff>
      <xdr:row>51</xdr:row>
      <xdr:rowOff>140547</xdr:rowOff>
    </xdr:from>
    <xdr:to>
      <xdr:col>24</xdr:col>
      <xdr:colOff>679873</xdr:colOff>
      <xdr:row>74</xdr:row>
      <xdr:rowOff>140546</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14</xdr:col>
      <xdr:colOff>15240</xdr:colOff>
      <xdr:row>50</xdr:row>
      <xdr:rowOff>167640</xdr:rowOff>
    </xdr:from>
    <xdr:to>
      <xdr:col>20</xdr:col>
      <xdr:colOff>381000</xdr:colOff>
      <xdr:row>69</xdr:row>
      <xdr:rowOff>152400</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563880</xdr:colOff>
      <xdr:row>50</xdr:row>
      <xdr:rowOff>160020</xdr:rowOff>
    </xdr:from>
    <xdr:to>
      <xdr:col>13</xdr:col>
      <xdr:colOff>693420</xdr:colOff>
      <xdr:row>70</xdr:row>
      <xdr:rowOff>22860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426720</xdr:colOff>
      <xdr:row>51</xdr:row>
      <xdr:rowOff>45720</xdr:rowOff>
    </xdr:from>
    <xdr:to>
      <xdr:col>6</xdr:col>
      <xdr:colOff>388620</xdr:colOff>
      <xdr:row>70</xdr:row>
      <xdr:rowOff>68580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Hoja1"/>
  <dimension ref="A1:N46"/>
  <sheetViews>
    <sheetView zoomScale="90" zoomScaleNormal="90" workbookViewId="0">
      <selection activeCell="E44" sqref="E44:E45"/>
    </sheetView>
  </sheetViews>
  <sheetFormatPr baseColWidth="10" defaultRowHeight="14.4"/>
  <cols>
    <col min="2" max="2" width="17.88671875" customWidth="1"/>
    <col min="13" max="13" width="13.77734375" customWidth="1"/>
    <col min="14" max="14" width="13.88671875" customWidth="1"/>
  </cols>
  <sheetData>
    <row r="1" spans="1:14">
      <c r="A1" s="2" t="s">
        <v>13</v>
      </c>
    </row>
    <row r="2" spans="1:14">
      <c r="A2" s="2" t="s">
        <v>14</v>
      </c>
      <c r="I2" s="75" t="s">
        <v>71</v>
      </c>
    </row>
    <row r="3" spans="1:14">
      <c r="A3" s="20" t="s">
        <v>63</v>
      </c>
      <c r="B3" s="20"/>
      <c r="C3" s="20"/>
      <c r="I3" s="75"/>
    </row>
    <row r="4" spans="1:14" ht="17.399999999999999" customHeight="1">
      <c r="A4" s="2"/>
      <c r="I4" s="75"/>
    </row>
    <row r="5" spans="1:14">
      <c r="C5" s="71" t="s">
        <v>4</v>
      </c>
      <c r="D5" s="71"/>
      <c r="E5" s="71"/>
      <c r="F5" s="71"/>
      <c r="G5" s="80" t="s">
        <v>5</v>
      </c>
      <c r="H5" s="71"/>
      <c r="I5" s="71"/>
      <c r="J5" s="71"/>
      <c r="K5" s="71"/>
      <c r="L5" s="71"/>
      <c r="M5" s="71"/>
      <c r="N5" s="71"/>
    </row>
    <row r="6" spans="1:14" ht="33.6" customHeight="1">
      <c r="C6" s="72" t="s">
        <v>65</v>
      </c>
      <c r="D6" s="72" t="s">
        <v>66</v>
      </c>
      <c r="E6" s="72" t="s">
        <v>0</v>
      </c>
      <c r="F6" s="72" t="s">
        <v>1</v>
      </c>
      <c r="G6" s="81" t="s">
        <v>67</v>
      </c>
      <c r="H6" s="72" t="s">
        <v>64</v>
      </c>
      <c r="I6" s="72" t="s">
        <v>70</v>
      </c>
      <c r="J6" s="72" t="s">
        <v>68</v>
      </c>
      <c r="K6" s="73" t="s">
        <v>69</v>
      </c>
      <c r="L6" s="73"/>
      <c r="M6" s="72" t="s">
        <v>72</v>
      </c>
      <c r="N6" s="72" t="s">
        <v>73</v>
      </c>
    </row>
    <row r="7" spans="1:14">
      <c r="A7" s="4"/>
      <c r="B7" s="3"/>
      <c r="C7" s="84">
        <v>625</v>
      </c>
      <c r="D7" s="85">
        <v>645</v>
      </c>
      <c r="E7" s="84">
        <v>46</v>
      </c>
      <c r="F7" s="84">
        <v>39</v>
      </c>
      <c r="G7" s="86">
        <f>E7-F7</f>
        <v>7</v>
      </c>
      <c r="H7" s="82">
        <v>2</v>
      </c>
      <c r="I7" s="82">
        <f>C7-D7</f>
        <v>-20</v>
      </c>
      <c r="J7" s="83">
        <f>C7/6</f>
        <v>104.16666666666667</v>
      </c>
      <c r="K7" s="76">
        <f>C7+J7</f>
        <v>729.16666666666663</v>
      </c>
      <c r="L7" s="77">
        <f>C7-J7</f>
        <v>520.83333333333337</v>
      </c>
      <c r="M7" s="82" t="str">
        <f>IF(AND(D7&lt;K7, D7&gt;L7), "Si", "NO")</f>
        <v>Si</v>
      </c>
      <c r="N7" s="74" t="str">
        <f>IF(G7&gt;5,"NO","Si")</f>
        <v>NO</v>
      </c>
    </row>
    <row r="8" spans="1:14">
      <c r="C8" s="84">
        <v>1271</v>
      </c>
      <c r="D8" s="85">
        <v>1570</v>
      </c>
      <c r="E8" s="84">
        <v>38</v>
      </c>
      <c r="F8" s="84">
        <v>36</v>
      </c>
      <c r="G8" s="86">
        <f>E8-F8</f>
        <v>2</v>
      </c>
      <c r="H8" s="82">
        <v>2</v>
      </c>
      <c r="I8" s="82">
        <f t="shared" ref="I8:I16" si="0">C8-D8</f>
        <v>-299</v>
      </c>
      <c r="J8" s="83">
        <f>C8/6</f>
        <v>211.83333333333334</v>
      </c>
      <c r="K8" s="78">
        <f>C8+J8</f>
        <v>1482.8333333333333</v>
      </c>
      <c r="L8" s="79">
        <f>C8-J8</f>
        <v>1059.1666666666667</v>
      </c>
      <c r="M8" s="82" t="str">
        <f>IF(AND(D8&lt;K8, D8&gt;L8), "Si", "NO")</f>
        <v>NO</v>
      </c>
      <c r="N8" s="74" t="str">
        <f t="shared" ref="N8:N16" si="1">IF(G8&gt;5,"NO","Si")</f>
        <v>Si</v>
      </c>
    </row>
    <row r="9" spans="1:14">
      <c r="C9" s="85">
        <v>7312</v>
      </c>
      <c r="D9" s="84">
        <v>7036</v>
      </c>
      <c r="E9" s="84">
        <v>42</v>
      </c>
      <c r="F9" s="84">
        <v>24</v>
      </c>
      <c r="G9" s="86">
        <f>E9-F9</f>
        <v>18</v>
      </c>
      <c r="H9" s="82">
        <v>2</v>
      </c>
      <c r="I9" s="82">
        <f t="shared" si="0"/>
        <v>276</v>
      </c>
      <c r="J9" s="83">
        <f>C9/6</f>
        <v>1218.6666666666667</v>
      </c>
      <c r="K9" s="78">
        <f>C9+J9</f>
        <v>8530.6666666666661</v>
      </c>
      <c r="L9" s="79">
        <f>C9-J9</f>
        <v>6093.333333333333</v>
      </c>
      <c r="M9" s="82" t="str">
        <f>IF(AND(D9&lt;K9, D9&gt;L9), "Si", "NO")</f>
        <v>Si</v>
      </c>
      <c r="N9" s="74" t="str">
        <f t="shared" si="1"/>
        <v>NO</v>
      </c>
    </row>
    <row r="10" spans="1:14">
      <c r="C10" s="85">
        <v>6780</v>
      </c>
      <c r="D10" s="84">
        <v>6423</v>
      </c>
      <c r="E10" s="84">
        <v>36</v>
      </c>
      <c r="F10" s="84">
        <v>31</v>
      </c>
      <c r="G10" s="86">
        <f>E10-F10</f>
        <v>5</v>
      </c>
      <c r="H10" s="82">
        <v>2</v>
      </c>
      <c r="I10" s="82">
        <f t="shared" si="0"/>
        <v>357</v>
      </c>
      <c r="J10" s="83">
        <f>C10/6</f>
        <v>1130</v>
      </c>
      <c r="K10" s="78">
        <f>C10+J10</f>
        <v>7910</v>
      </c>
      <c r="L10" s="79">
        <f>C10-J10</f>
        <v>5650</v>
      </c>
      <c r="M10" s="82" t="str">
        <f>IF(AND(D10&lt;K10, D10&gt;L10), "Si", "NO")</f>
        <v>Si</v>
      </c>
      <c r="N10" s="74" t="str">
        <f t="shared" si="1"/>
        <v>Si</v>
      </c>
    </row>
    <row r="11" spans="1:14">
      <c r="C11" s="85">
        <v>6500</v>
      </c>
      <c r="D11" s="84">
        <v>6423</v>
      </c>
      <c r="E11" s="84">
        <v>43</v>
      </c>
      <c r="F11" s="84">
        <v>41</v>
      </c>
      <c r="G11" s="86">
        <f>E11-F11</f>
        <v>2</v>
      </c>
      <c r="H11" s="82">
        <v>2</v>
      </c>
      <c r="I11" s="82">
        <f t="shared" si="0"/>
        <v>77</v>
      </c>
      <c r="J11" s="83">
        <f>C11/6</f>
        <v>1083.3333333333333</v>
      </c>
      <c r="K11" s="78">
        <f>C11+J11</f>
        <v>7583.333333333333</v>
      </c>
      <c r="L11" s="79">
        <f>C11-J11</f>
        <v>5416.666666666667</v>
      </c>
      <c r="M11" s="82" t="str">
        <f>IF(AND(D11&lt;K11, D11&gt;L11), "Si", "NO")</f>
        <v>Si</v>
      </c>
      <c r="N11" s="74" t="str">
        <f t="shared" si="1"/>
        <v>Si</v>
      </c>
    </row>
    <row r="12" spans="1:14">
      <c r="C12" s="85">
        <v>6542</v>
      </c>
      <c r="D12" s="84">
        <v>6423</v>
      </c>
      <c r="E12" s="84">
        <v>52</v>
      </c>
      <c r="F12" s="84">
        <v>23</v>
      </c>
      <c r="G12" s="86">
        <f>E12-F12</f>
        <v>29</v>
      </c>
      <c r="H12" s="82">
        <v>2</v>
      </c>
      <c r="I12" s="82">
        <f t="shared" si="0"/>
        <v>119</v>
      </c>
      <c r="J12" s="83">
        <f>C12/6</f>
        <v>1090.3333333333333</v>
      </c>
      <c r="K12" s="78">
        <f>C12+J12</f>
        <v>7632.333333333333</v>
      </c>
      <c r="L12" s="79">
        <f>C12-J12</f>
        <v>5451.666666666667</v>
      </c>
      <c r="M12" s="82" t="str">
        <f>IF(AND(D12&lt;K12, D12&gt;L12), "Si", "NO")</f>
        <v>Si</v>
      </c>
      <c r="N12" s="74" t="str">
        <f t="shared" si="1"/>
        <v>NO</v>
      </c>
    </row>
    <row r="13" spans="1:14">
      <c r="A13" s="5"/>
      <c r="C13" s="87">
        <v>6494</v>
      </c>
      <c r="D13" s="88">
        <v>7206</v>
      </c>
      <c r="E13" s="87">
        <v>43</v>
      </c>
      <c r="F13" s="87">
        <v>42</v>
      </c>
      <c r="G13" s="86">
        <f>E13-F13</f>
        <v>1</v>
      </c>
      <c r="H13" s="82">
        <v>2</v>
      </c>
      <c r="I13" s="82">
        <f t="shared" si="0"/>
        <v>-712</v>
      </c>
      <c r="J13" s="83">
        <f>C13/6</f>
        <v>1082.3333333333333</v>
      </c>
      <c r="K13" s="78">
        <f>C13+J13</f>
        <v>7576.333333333333</v>
      </c>
      <c r="L13" s="79">
        <f>C13-J13</f>
        <v>5411.666666666667</v>
      </c>
      <c r="M13" s="82" t="str">
        <f>IF(AND(D13&lt;K13, D13&gt;L13), "Si", "NO")</f>
        <v>Si</v>
      </c>
      <c r="N13" s="74" t="str">
        <f t="shared" si="1"/>
        <v>Si</v>
      </c>
    </row>
    <row r="14" spans="1:14">
      <c r="C14" s="88">
        <v>6757</v>
      </c>
      <c r="D14" s="87">
        <v>6090</v>
      </c>
      <c r="E14" s="87">
        <v>50.8</v>
      </c>
      <c r="F14" s="87">
        <v>50</v>
      </c>
      <c r="G14" s="86">
        <f>E14-F14</f>
        <v>0.79999999999999716</v>
      </c>
      <c r="H14" s="82">
        <v>2</v>
      </c>
      <c r="I14" s="82">
        <f t="shared" si="0"/>
        <v>667</v>
      </c>
      <c r="J14" s="83">
        <f>C14/6</f>
        <v>1126.1666666666667</v>
      </c>
      <c r="K14" s="78">
        <f>C14+J14</f>
        <v>7883.166666666667</v>
      </c>
      <c r="L14" s="79">
        <f>C14-J14</f>
        <v>5630.833333333333</v>
      </c>
      <c r="M14" s="82" t="str">
        <f>IF(AND(D14&lt;K14, D14&gt;L14), "Si", "NO")</f>
        <v>Si</v>
      </c>
      <c r="N14" s="74" t="str">
        <f t="shared" si="1"/>
        <v>Si</v>
      </c>
    </row>
    <row r="15" spans="1:14">
      <c r="C15" s="87">
        <v>1214</v>
      </c>
      <c r="D15" s="88">
        <v>1258</v>
      </c>
      <c r="E15" s="87">
        <v>48</v>
      </c>
      <c r="F15" s="87">
        <v>46</v>
      </c>
      <c r="G15" s="86">
        <f>E15-F15</f>
        <v>2</v>
      </c>
      <c r="H15" s="82">
        <v>2</v>
      </c>
      <c r="I15" s="82">
        <f t="shared" si="0"/>
        <v>-44</v>
      </c>
      <c r="J15" s="83">
        <f>C15/6</f>
        <v>202.33333333333334</v>
      </c>
      <c r="K15" s="78">
        <f>C15+J15</f>
        <v>1416.3333333333333</v>
      </c>
      <c r="L15" s="79">
        <f>C15-J15</f>
        <v>1011.6666666666666</v>
      </c>
      <c r="M15" s="82" t="str">
        <f>IF(AND(D15&lt;K15, D15&gt;L15), "Si", "NO")</f>
        <v>Si</v>
      </c>
      <c r="N15" s="74" t="str">
        <f t="shared" si="1"/>
        <v>Si</v>
      </c>
    </row>
    <row r="16" spans="1:14">
      <c r="C16" s="89">
        <v>6604</v>
      </c>
      <c r="D16" s="90">
        <v>7206</v>
      </c>
      <c r="E16" s="89">
        <v>51</v>
      </c>
      <c r="F16" s="89">
        <v>43</v>
      </c>
      <c r="G16" s="86">
        <f>E16-F16</f>
        <v>8</v>
      </c>
      <c r="H16" s="82">
        <v>2</v>
      </c>
      <c r="I16" s="82">
        <f t="shared" si="0"/>
        <v>-602</v>
      </c>
      <c r="J16" s="83">
        <f>C16/6</f>
        <v>1100.6666666666667</v>
      </c>
      <c r="K16" s="78">
        <f>C16+J16</f>
        <v>7704.666666666667</v>
      </c>
      <c r="L16" s="79">
        <f>C16-J16</f>
        <v>5503.333333333333</v>
      </c>
      <c r="M16" s="82" t="str">
        <f>IF(AND(D16&lt;K16, D16&gt;L16), "Si", "NO")</f>
        <v>Si</v>
      </c>
      <c r="N16" s="74" t="str">
        <f t="shared" si="1"/>
        <v>NO</v>
      </c>
    </row>
    <row r="17" spans="1:14">
      <c r="A17" s="4"/>
    </row>
    <row r="18" spans="1:14">
      <c r="A18" s="5"/>
      <c r="C18" s="70" t="s">
        <v>5</v>
      </c>
      <c r="D18" s="70"/>
      <c r="E18" s="70"/>
      <c r="F18" s="70"/>
      <c r="G18" s="70"/>
      <c r="H18" s="70"/>
      <c r="I18" s="70"/>
      <c r="J18" s="70"/>
      <c r="K18" s="70"/>
      <c r="L18" s="70"/>
      <c r="M18" s="70"/>
      <c r="N18" s="70"/>
    </row>
    <row r="19" spans="1:14">
      <c r="C19" s="68" t="s">
        <v>12</v>
      </c>
      <c r="D19" t="s">
        <v>9</v>
      </c>
      <c r="G19" s="68" t="s">
        <v>11</v>
      </c>
      <c r="H19" t="s">
        <v>15</v>
      </c>
    </row>
    <row r="20" spans="1:14">
      <c r="C20" s="69"/>
      <c r="D20" t="s">
        <v>10</v>
      </c>
      <c r="G20" s="69"/>
      <c r="H20" t="s">
        <v>6</v>
      </c>
    </row>
    <row r="21" spans="1:14">
      <c r="C21" s="69"/>
      <c r="D21" s="1" t="s">
        <v>8</v>
      </c>
      <c r="G21" s="69"/>
      <c r="H21" t="s">
        <v>7</v>
      </c>
    </row>
    <row r="22" spans="1:14">
      <c r="C22" s="69"/>
      <c r="D22" t="s">
        <v>16</v>
      </c>
      <c r="G22" s="69"/>
      <c r="H22" s="1" t="s">
        <v>8</v>
      </c>
    </row>
    <row r="23" spans="1:14">
      <c r="A23" s="5"/>
    </row>
    <row r="24" spans="1:14">
      <c r="B24" s="67" t="s">
        <v>62</v>
      </c>
    </row>
    <row r="25" spans="1:14">
      <c r="B25" s="67" t="s">
        <v>54</v>
      </c>
    </row>
    <row r="27" spans="1:14">
      <c r="B27" s="66" t="s">
        <v>75</v>
      </c>
    </row>
    <row r="28" spans="1:14">
      <c r="B28" s="2" t="s">
        <v>58</v>
      </c>
    </row>
    <row r="29" spans="1:14">
      <c r="B29" s="2" t="s">
        <v>59</v>
      </c>
    </row>
    <row r="30" spans="1:14">
      <c r="B30" s="2" t="s">
        <v>60</v>
      </c>
    </row>
    <row r="31" spans="1:14">
      <c r="B31" s="2" t="s">
        <v>61</v>
      </c>
    </row>
    <row r="34" spans="2:3">
      <c r="B34" s="66" t="s">
        <v>76</v>
      </c>
    </row>
    <row r="35" spans="2:3">
      <c r="B35" t="s">
        <v>77</v>
      </c>
    </row>
    <row r="36" spans="2:3">
      <c r="B36" t="s">
        <v>78</v>
      </c>
    </row>
    <row r="37" spans="2:3">
      <c r="B37" t="s">
        <v>79</v>
      </c>
    </row>
    <row r="38" spans="2:3">
      <c r="B38" t="s">
        <v>80</v>
      </c>
    </row>
    <row r="39" spans="2:3">
      <c r="B39" t="s">
        <v>81</v>
      </c>
    </row>
    <row r="40" spans="2:3">
      <c r="C40" s="52"/>
    </row>
    <row r="41" spans="2:3">
      <c r="B41" t="s">
        <v>82</v>
      </c>
    </row>
    <row r="46" spans="2:3">
      <c r="B46" s="67" t="s">
        <v>74</v>
      </c>
    </row>
  </sheetData>
  <mergeCells count="7">
    <mergeCell ref="I2:I4"/>
    <mergeCell ref="C18:N18"/>
    <mergeCell ref="C19:C22"/>
    <mergeCell ref="G19:G22"/>
    <mergeCell ref="G5:N5"/>
    <mergeCell ref="C5:F5"/>
    <mergeCell ref="K6:L6"/>
  </mergeCells>
  <conditionalFormatting sqref="M7:M16">
    <cfRule type="expression" dxfId="36" priority="3">
      <formula>OR(D7&gt;K7,D7&lt;L7)</formula>
    </cfRule>
    <cfRule type="expression" dxfId="35" priority="4">
      <formula>AND(D7&lt;K7,D7&gt;L7)</formula>
    </cfRule>
    <cfRule type="expression" dxfId="34" priority="5">
      <formula>AND(D7&gt;K7,D7&gt;L7)</formula>
    </cfRule>
  </conditionalFormatting>
  <conditionalFormatting sqref="N7:N16">
    <cfRule type="expression" dxfId="33" priority="2">
      <formula>$G7&lt;5</formula>
    </cfRule>
  </conditionalFormatting>
  <conditionalFormatting sqref="C7:L16">
    <cfRule type="expression" dxfId="32" priority="1">
      <formula>$G7&lt;5</formula>
    </cfRule>
  </conditionalFormatting>
  <pageMargins left="0.7" right="0.7" top="0.75" bottom="0.75" header="0.3" footer="0.3"/>
  <pageSetup paperSize="9"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sheetPr codeName="Hoja3"/>
  <dimension ref="A1:AD72"/>
  <sheetViews>
    <sheetView tabSelected="1" zoomScale="90" zoomScaleNormal="90" workbookViewId="0">
      <selection activeCell="B46" sqref="B46"/>
    </sheetView>
  </sheetViews>
  <sheetFormatPr baseColWidth="10" defaultRowHeight="14.4"/>
  <cols>
    <col min="1" max="1" width="11.5546875" style="7"/>
    <col min="2" max="2" width="17.88671875" style="7" customWidth="1"/>
    <col min="3" max="3" width="15.5546875" style="7" customWidth="1"/>
    <col min="4" max="4" width="15.21875" style="7" customWidth="1"/>
    <col min="5" max="5" width="13.77734375" style="7" customWidth="1"/>
    <col min="6" max="6" width="14.21875" style="7" customWidth="1"/>
    <col min="7" max="18" width="11.5546875" style="7"/>
    <col min="19" max="19" width="17.44140625" style="7" customWidth="1"/>
    <col min="20" max="20" width="12.5546875" style="7" customWidth="1"/>
    <col min="21" max="21" width="21.21875" style="7" customWidth="1"/>
    <col min="22" max="22" width="13" style="7" customWidth="1"/>
    <col min="23" max="23" width="20.109375" style="7" customWidth="1"/>
    <col min="24" max="24" width="13" style="7" customWidth="1"/>
    <col min="25" max="25" width="21.88671875" style="7" customWidth="1"/>
    <col min="26" max="26" width="29.44140625" style="7" customWidth="1"/>
    <col min="27" max="27" width="29.21875" style="7" customWidth="1"/>
    <col min="28" max="29" width="25.5546875" style="7" customWidth="1"/>
    <col min="30" max="16384" width="11.5546875" style="7"/>
  </cols>
  <sheetData>
    <row r="1" spans="1:29">
      <c r="A1" s="92" t="s">
        <v>83</v>
      </c>
      <c r="B1" s="91"/>
    </row>
    <row r="2" spans="1:29">
      <c r="A2" s="93" t="s">
        <v>84</v>
      </c>
    </row>
    <row r="3" spans="1:29">
      <c r="A3" s="93" t="s">
        <v>85</v>
      </c>
    </row>
    <row r="4" spans="1:29">
      <c r="A4" s="93" t="s">
        <v>86</v>
      </c>
    </row>
    <row r="5" spans="1:29">
      <c r="A5" s="93" t="s">
        <v>87</v>
      </c>
    </row>
    <row r="6" spans="1:29">
      <c r="A6" s="93" t="s">
        <v>88</v>
      </c>
    </row>
    <row r="7" spans="1:29">
      <c r="A7" s="93" t="s">
        <v>89</v>
      </c>
    </row>
    <row r="10" spans="1:29" ht="21">
      <c r="A10" s="10" t="s">
        <v>17</v>
      </c>
      <c r="AC10" s="23" t="s">
        <v>49</v>
      </c>
    </row>
    <row r="11" spans="1:29">
      <c r="A11" s="6" t="s">
        <v>18</v>
      </c>
      <c r="Y11" s="22"/>
      <c r="AB11" s="58" t="s">
        <v>52</v>
      </c>
      <c r="AC11" s="58" t="s">
        <v>52</v>
      </c>
    </row>
    <row r="12" spans="1:29">
      <c r="A12" s="7" t="s">
        <v>24</v>
      </c>
      <c r="AB12" s="58"/>
      <c r="AC12" s="58"/>
    </row>
    <row r="13" spans="1:29" ht="14.4" customHeight="1">
      <c r="A13" s="7" t="s">
        <v>25</v>
      </c>
      <c r="AB13" s="58"/>
      <c r="AC13" s="58"/>
    </row>
    <row r="14" spans="1:29" ht="14.4" customHeight="1">
      <c r="A14" s="7" t="s">
        <v>26</v>
      </c>
      <c r="B14" s="8"/>
      <c r="V14" s="65" t="s">
        <v>48</v>
      </c>
      <c r="W14" s="65"/>
      <c r="AB14" s="23"/>
    </row>
    <row r="15" spans="1:29">
      <c r="A15" s="7" t="s">
        <v>27</v>
      </c>
      <c r="N15" s="63" t="s">
        <v>35</v>
      </c>
      <c r="O15" s="63"/>
      <c r="P15" s="63"/>
      <c r="Q15" s="63"/>
      <c r="V15" s="65"/>
      <c r="W15" s="65"/>
      <c r="AB15" s="25" t="s">
        <v>51</v>
      </c>
      <c r="AC15" s="24" t="s">
        <v>50</v>
      </c>
    </row>
    <row r="16" spans="1:29">
      <c r="N16" s="64">
        <f>1/100</f>
        <v>0.01</v>
      </c>
      <c r="O16" s="64"/>
      <c r="P16" s="64"/>
      <c r="Q16" s="64"/>
      <c r="V16" s="65"/>
      <c r="W16" s="65"/>
      <c r="AB16" s="26"/>
      <c r="AC16" s="27">
        <v>5</v>
      </c>
    </row>
    <row r="17" spans="1:29">
      <c r="C17" s="59" t="s">
        <v>19</v>
      </c>
      <c r="D17" s="59"/>
      <c r="E17" s="59"/>
      <c r="F17" s="59"/>
      <c r="H17" s="59" t="s">
        <v>29</v>
      </c>
      <c r="I17" s="62"/>
      <c r="J17" s="61" t="s">
        <v>28</v>
      </c>
      <c r="K17" s="59"/>
      <c r="L17" s="59"/>
      <c r="M17" s="59"/>
      <c r="N17" s="61" t="s">
        <v>31</v>
      </c>
      <c r="O17" s="59"/>
      <c r="P17" s="59"/>
      <c r="Q17" s="59"/>
      <c r="R17" s="61" t="s">
        <v>32</v>
      </c>
      <c r="S17" s="59"/>
      <c r="T17" s="59"/>
      <c r="U17" s="59"/>
      <c r="V17" s="59"/>
      <c r="W17" s="59"/>
      <c r="X17" s="59"/>
      <c r="Y17" s="59"/>
      <c r="Z17" s="59"/>
      <c r="AA17" s="62"/>
      <c r="AB17" s="61" t="s">
        <v>40</v>
      </c>
      <c r="AC17" s="59"/>
    </row>
    <row r="18" spans="1:29" ht="38.4" customHeight="1">
      <c r="B18" s="54"/>
      <c r="C18" s="11" t="s">
        <v>20</v>
      </c>
      <c r="D18" s="11" t="s">
        <v>21</v>
      </c>
      <c r="E18" s="11" t="s">
        <v>22</v>
      </c>
      <c r="F18" s="11" t="s">
        <v>23</v>
      </c>
      <c r="H18" s="12" t="s">
        <v>2</v>
      </c>
      <c r="I18" s="18" t="s">
        <v>30</v>
      </c>
      <c r="J18" s="13" t="s">
        <v>33</v>
      </c>
      <c r="K18" s="60" t="s">
        <v>3</v>
      </c>
      <c r="L18" s="60"/>
      <c r="M18" s="18" t="s">
        <v>30</v>
      </c>
      <c r="N18" s="15" t="s">
        <v>34</v>
      </c>
      <c r="O18" s="60" t="s">
        <v>3</v>
      </c>
      <c r="P18" s="60"/>
      <c r="Q18" s="18" t="s">
        <v>30</v>
      </c>
      <c r="R18" s="15" t="s">
        <v>43</v>
      </c>
      <c r="S18" s="17" t="s">
        <v>44</v>
      </c>
      <c r="T18" s="17" t="s">
        <v>36</v>
      </c>
      <c r="U18" s="17" t="s">
        <v>45</v>
      </c>
      <c r="V18" s="15" t="s">
        <v>46</v>
      </c>
      <c r="W18" s="11" t="s">
        <v>47</v>
      </c>
      <c r="X18" s="11" t="s">
        <v>37</v>
      </c>
      <c r="Y18" s="11" t="s">
        <v>45</v>
      </c>
      <c r="Z18" s="21" t="s">
        <v>38</v>
      </c>
      <c r="AA18" s="18" t="s">
        <v>39</v>
      </c>
      <c r="AB18" s="16" t="s">
        <v>41</v>
      </c>
      <c r="AC18" s="17" t="s">
        <v>42</v>
      </c>
    </row>
    <row r="19" spans="1:29">
      <c r="A19" s="57" t="s">
        <v>55</v>
      </c>
      <c r="B19" s="7">
        <v>0</v>
      </c>
      <c r="C19" s="14">
        <v>6435</v>
      </c>
      <c r="D19" s="19">
        <v>6672</v>
      </c>
      <c r="E19" s="14">
        <v>51.3</v>
      </c>
      <c r="F19" s="14">
        <v>47</v>
      </c>
      <c r="H19" s="38">
        <v>2</v>
      </c>
      <c r="I19" s="39" t="str">
        <f>IF(ABS(E19-F19)&lt;H19, "SI", "NO")</f>
        <v>NO</v>
      </c>
      <c r="J19" s="40">
        <f>C19/6</f>
        <v>1072.5</v>
      </c>
      <c r="K19" s="41">
        <f t="shared" ref="K19:K33" si="0">C19+J19</f>
        <v>7507.5</v>
      </c>
      <c r="L19" s="42">
        <f t="shared" ref="L19:L33" si="1">C19-J19</f>
        <v>5362.5</v>
      </c>
      <c r="M19" s="43" t="str">
        <f>IF(AND(D19&lt;K19, D19&gt;L19), "Si", "NO")</f>
        <v>Si</v>
      </c>
      <c r="N19" s="44">
        <f>C19*$N$16</f>
        <v>64.349999999999994</v>
      </c>
      <c r="O19" s="44">
        <f t="shared" ref="O19:O33" si="2">N19+C19</f>
        <v>6499.35</v>
      </c>
      <c r="P19" s="45">
        <f t="shared" ref="P19:P33" si="3">C19-N19</f>
        <v>6370.65</v>
      </c>
      <c r="Q19" s="39" t="str">
        <f t="shared" ref="Q19:Q33" si="4">IF(AND(D19&lt;O19, D19&gt;P19), "Si", "NO")</f>
        <v>NO</v>
      </c>
      <c r="R19" s="46">
        <f>C19-D19</f>
        <v>-237</v>
      </c>
      <c r="S19" s="47" t="str">
        <f>IF(R19&gt;0,"Mas agudo el tinnitus", "Mas grave el tinnitus")</f>
        <v>Mas grave el tinnitus</v>
      </c>
      <c r="T19" s="46">
        <f>ABS(R19)-J19</f>
        <v>-835.5</v>
      </c>
      <c r="U19" s="48" t="str">
        <f>IF(T19&gt;0,"Error humano predomina","Error tonal/6")</f>
        <v>Error tonal/6</v>
      </c>
      <c r="V19" s="46">
        <f>E19-F19</f>
        <v>4.2999999999999972</v>
      </c>
      <c r="W19" s="47" t="str">
        <f>IF(V19&gt;0,"Se percibe por debajo", "Se percibe por encima")</f>
        <v>Se percibe por debajo</v>
      </c>
      <c r="X19" s="46">
        <f>ABS(V19)-H19</f>
        <v>2.2999999999999972</v>
      </c>
      <c r="Y19" s="47" t="str">
        <f>IF(X19&gt;0,"Error humano predomina","Error sonoro")</f>
        <v>Error humano predomina</v>
      </c>
      <c r="Z19" s="46" t="str">
        <f>IF(T19&gt;0, "No se adapta, error humano","Dentro de los errores")</f>
        <v>Dentro de los errores</v>
      </c>
      <c r="AA19" s="39" t="str">
        <f>IF(X19&gt;0, "No se adapta, error humano","Dentro de los errores")</f>
        <v>No se adapta, error humano</v>
      </c>
      <c r="AB19" s="46" t="str">
        <f>IF(ABS(R19)&lt;J19, "Acepto", "No acepto")</f>
        <v>Acepto</v>
      </c>
      <c r="AC19" s="39" t="str">
        <f>IF(ABS(V19)&lt;$AC$16, "Acepto","No valido")</f>
        <v>Acepto</v>
      </c>
    </row>
    <row r="20" spans="1:29">
      <c r="A20" s="57" t="s">
        <v>56</v>
      </c>
      <c r="C20" s="14">
        <v>6435</v>
      </c>
      <c r="D20" s="19">
        <v>6578</v>
      </c>
      <c r="E20" s="14">
        <v>51.3</v>
      </c>
      <c r="F20" s="14">
        <v>49</v>
      </c>
      <c r="H20" s="38">
        <v>2</v>
      </c>
      <c r="I20" s="39" t="str">
        <f t="shared" ref="I20:I33" si="5">IF(ABS(E20-F20)&lt;H20, "SI", "NO")</f>
        <v>NO</v>
      </c>
      <c r="J20" s="49">
        <f>C20/6</f>
        <v>1072.5</v>
      </c>
      <c r="K20" s="44">
        <f t="shared" si="0"/>
        <v>7507.5</v>
      </c>
      <c r="L20" s="45">
        <f t="shared" si="1"/>
        <v>5362.5</v>
      </c>
      <c r="M20" s="43" t="str">
        <f t="shared" ref="M20:M33" si="6">IF(AND(D20&lt;K20, D20&gt;L20), "Si", "NO")</f>
        <v>Si</v>
      </c>
      <c r="N20" s="44">
        <f t="shared" ref="N20:N33" si="7">C20*$N$16</f>
        <v>64.349999999999994</v>
      </c>
      <c r="O20" s="44">
        <f t="shared" si="2"/>
        <v>6499.35</v>
      </c>
      <c r="P20" s="45">
        <f t="shared" si="3"/>
        <v>6370.65</v>
      </c>
      <c r="Q20" s="39" t="str">
        <f t="shared" si="4"/>
        <v>NO</v>
      </c>
      <c r="R20" s="50">
        <f t="shared" ref="R20:R33" si="8">C20-D20</f>
        <v>-143</v>
      </c>
      <c r="S20" s="47" t="str">
        <f t="shared" ref="S20:S70" si="9">IF(R20&gt;0,"Mas agudo el tinnitus", "Mas grave el tinnitus")</f>
        <v>Mas grave el tinnitus</v>
      </c>
      <c r="T20" s="50">
        <f t="shared" ref="T20:T33" si="10">ABS(R20)-J20</f>
        <v>-929.5</v>
      </c>
      <c r="U20" s="47" t="str">
        <f t="shared" ref="U20:U70" si="11">IF(T20&gt;0,"Error humano predomina","Error tonal/6")</f>
        <v>Error tonal/6</v>
      </c>
      <c r="V20" s="50">
        <f t="shared" ref="V20:V33" si="12">E20-F20</f>
        <v>2.2999999999999972</v>
      </c>
      <c r="W20" s="47" t="str">
        <f t="shared" ref="W20:W70" si="13">IF(V20&gt;0,"Se percibe por debajo", "Se percibe por encima")</f>
        <v>Se percibe por debajo</v>
      </c>
      <c r="X20" s="50">
        <f t="shared" ref="X20:X33" si="14">ABS(V20)-H20</f>
        <v>0.29999999999999716</v>
      </c>
      <c r="Y20" s="47" t="str">
        <f t="shared" ref="Y20:Y70" si="15">IF(X20&gt;0,"Error humano predomina","Error sonoro")</f>
        <v>Error humano predomina</v>
      </c>
      <c r="Z20" s="50" t="str">
        <f t="shared" ref="Z20:Z33" si="16">IF(T20&gt;0, "No se adapta, error humano","Dentro de los errores")</f>
        <v>Dentro de los errores</v>
      </c>
      <c r="AA20" s="39" t="str">
        <f t="shared" ref="AA20:AA33" si="17">IF(X20&gt;0, "No se adapta, error humano","Dentro de los errores")</f>
        <v>No se adapta, error humano</v>
      </c>
      <c r="AB20" s="50" t="str">
        <f t="shared" ref="AB20:AB70" si="18">IF(ABS(R20)&lt;J20, "Acepto", "No acepto")</f>
        <v>Acepto</v>
      </c>
      <c r="AC20" s="39" t="str">
        <f t="shared" ref="AC20:AC70" si="19">IF(ABS(V20)&lt;$AC$16, "Acepto","No valido")</f>
        <v>Acepto</v>
      </c>
    </row>
    <row r="21" spans="1:29">
      <c r="A21" s="57" t="s">
        <v>57</v>
      </c>
      <c r="C21" s="14">
        <v>6435</v>
      </c>
      <c r="D21" s="19">
        <v>6578</v>
      </c>
      <c r="E21" s="14">
        <v>51.3</v>
      </c>
      <c r="F21" s="14">
        <v>51</v>
      </c>
      <c r="H21" s="38">
        <v>2</v>
      </c>
      <c r="I21" s="39" t="str">
        <f t="shared" si="5"/>
        <v>SI</v>
      </c>
      <c r="J21" s="49">
        <f>C21/6</f>
        <v>1072.5</v>
      </c>
      <c r="K21" s="44">
        <f t="shared" si="0"/>
        <v>7507.5</v>
      </c>
      <c r="L21" s="45">
        <f t="shared" si="1"/>
        <v>5362.5</v>
      </c>
      <c r="M21" s="43" t="str">
        <f t="shared" si="6"/>
        <v>Si</v>
      </c>
      <c r="N21" s="44">
        <f t="shared" si="7"/>
        <v>64.349999999999994</v>
      </c>
      <c r="O21" s="44">
        <f t="shared" si="2"/>
        <v>6499.35</v>
      </c>
      <c r="P21" s="45">
        <f t="shared" si="3"/>
        <v>6370.65</v>
      </c>
      <c r="Q21" s="39" t="str">
        <f t="shared" si="4"/>
        <v>NO</v>
      </c>
      <c r="R21" s="50">
        <f t="shared" si="8"/>
        <v>-143</v>
      </c>
      <c r="S21" s="47" t="str">
        <f t="shared" si="9"/>
        <v>Mas grave el tinnitus</v>
      </c>
      <c r="T21" s="50">
        <f t="shared" si="10"/>
        <v>-929.5</v>
      </c>
      <c r="U21" s="47" t="str">
        <f t="shared" si="11"/>
        <v>Error tonal/6</v>
      </c>
      <c r="V21" s="50">
        <f t="shared" si="12"/>
        <v>0.29999999999999716</v>
      </c>
      <c r="W21" s="47" t="str">
        <f t="shared" si="13"/>
        <v>Se percibe por debajo</v>
      </c>
      <c r="X21" s="50">
        <f t="shared" si="14"/>
        <v>-1.7000000000000028</v>
      </c>
      <c r="Y21" s="47" t="str">
        <f t="shared" si="15"/>
        <v>Error sonoro</v>
      </c>
      <c r="Z21" s="50" t="str">
        <f t="shared" si="16"/>
        <v>Dentro de los errores</v>
      </c>
      <c r="AA21" s="39" t="str">
        <f t="shared" si="17"/>
        <v>Dentro de los errores</v>
      </c>
      <c r="AB21" s="50" t="str">
        <f t="shared" si="18"/>
        <v>Acepto</v>
      </c>
      <c r="AC21" s="39" t="str">
        <f t="shared" si="19"/>
        <v>Acepto</v>
      </c>
    </row>
    <row r="22" spans="1:29">
      <c r="B22" s="30" t="s">
        <v>53</v>
      </c>
      <c r="C22" s="29">
        <f>AVERAGE(C19:C21)</f>
        <v>6435</v>
      </c>
      <c r="D22" s="29">
        <f>AVERAGE(D19:D21)</f>
        <v>6609.333333333333</v>
      </c>
      <c r="E22" s="29">
        <f>AVERAGE(E19:E21)</f>
        <v>51.29999999999999</v>
      </c>
      <c r="F22" s="29">
        <f>AVERAGE(F19:F21)</f>
        <v>49</v>
      </c>
      <c r="H22" s="31">
        <v>2</v>
      </c>
      <c r="I22" s="32" t="str">
        <f t="shared" si="5"/>
        <v>NO</v>
      </c>
      <c r="J22" s="33">
        <f t="shared" ref="J22:J33" si="20">C22/6</f>
        <v>1072.5</v>
      </c>
      <c r="K22" s="34">
        <f t="shared" si="0"/>
        <v>7507.5</v>
      </c>
      <c r="L22" s="35">
        <f t="shared" si="1"/>
        <v>5362.5</v>
      </c>
      <c r="M22" s="36" t="str">
        <f t="shared" si="6"/>
        <v>Si</v>
      </c>
      <c r="N22" s="34">
        <f t="shared" si="7"/>
        <v>64.349999999999994</v>
      </c>
      <c r="O22" s="34">
        <f t="shared" si="2"/>
        <v>6499.35</v>
      </c>
      <c r="P22" s="35">
        <f t="shared" si="3"/>
        <v>6370.65</v>
      </c>
      <c r="Q22" s="32" t="str">
        <f t="shared" si="4"/>
        <v>NO</v>
      </c>
      <c r="R22" s="55">
        <f t="shared" si="8"/>
        <v>-174.33333333333303</v>
      </c>
      <c r="S22" s="56" t="str">
        <f t="shared" si="9"/>
        <v>Mas grave el tinnitus</v>
      </c>
      <c r="T22" s="37">
        <f t="shared" si="10"/>
        <v>-898.16666666666697</v>
      </c>
      <c r="U22" s="32" t="str">
        <f t="shared" si="11"/>
        <v>Error tonal/6</v>
      </c>
      <c r="V22" s="37">
        <f>E22-F22</f>
        <v>2.2999999999999901</v>
      </c>
      <c r="W22" s="32" t="str">
        <f t="shared" si="13"/>
        <v>Se percibe por debajo</v>
      </c>
      <c r="X22" s="37">
        <f t="shared" si="14"/>
        <v>0.29999999999999005</v>
      </c>
      <c r="Y22" s="32" t="str">
        <f t="shared" si="15"/>
        <v>Error humano predomina</v>
      </c>
      <c r="Z22" s="55" t="str">
        <f t="shared" si="16"/>
        <v>Dentro de los errores</v>
      </c>
      <c r="AA22" s="55" t="str">
        <f t="shared" si="17"/>
        <v>No se adapta, error humano</v>
      </c>
      <c r="AB22" s="55" t="str">
        <f t="shared" si="18"/>
        <v>Acepto</v>
      </c>
      <c r="AC22" s="56" t="str">
        <f t="shared" si="19"/>
        <v>Acepto</v>
      </c>
    </row>
    <row r="23" spans="1:29">
      <c r="A23" s="57" t="s">
        <v>55</v>
      </c>
      <c r="B23" s="28">
        <v>1</v>
      </c>
      <c r="C23" s="14">
        <v>1006</v>
      </c>
      <c r="D23" s="19">
        <v>1038</v>
      </c>
      <c r="E23" s="14">
        <v>47</v>
      </c>
      <c r="F23" s="14">
        <v>41</v>
      </c>
      <c r="H23" s="38">
        <v>2</v>
      </c>
      <c r="I23" s="39" t="str">
        <f>IF(ABS(E23-F23)&lt;H23, "SI", "NO")</f>
        <v>NO</v>
      </c>
      <c r="J23" s="49">
        <f t="shared" si="20"/>
        <v>167.66666666666666</v>
      </c>
      <c r="K23" s="44">
        <f t="shared" si="0"/>
        <v>1173.6666666666667</v>
      </c>
      <c r="L23" s="45">
        <f t="shared" si="1"/>
        <v>838.33333333333337</v>
      </c>
      <c r="M23" s="43" t="str">
        <f t="shared" si="6"/>
        <v>Si</v>
      </c>
      <c r="N23" s="44">
        <f t="shared" si="7"/>
        <v>10.06</v>
      </c>
      <c r="O23" s="44">
        <f t="shared" si="2"/>
        <v>1016.06</v>
      </c>
      <c r="P23" s="45">
        <f t="shared" si="3"/>
        <v>995.94</v>
      </c>
      <c r="Q23" s="39" t="str">
        <f t="shared" si="4"/>
        <v>NO</v>
      </c>
      <c r="R23" s="50">
        <f t="shared" si="8"/>
        <v>-32</v>
      </c>
      <c r="S23" s="47" t="str">
        <f t="shared" si="9"/>
        <v>Mas grave el tinnitus</v>
      </c>
      <c r="T23" s="50">
        <f t="shared" si="10"/>
        <v>-135.66666666666666</v>
      </c>
      <c r="U23" s="47" t="str">
        <f t="shared" si="11"/>
        <v>Error tonal/6</v>
      </c>
      <c r="V23" s="50">
        <f t="shared" si="12"/>
        <v>6</v>
      </c>
      <c r="W23" s="47" t="str">
        <f t="shared" si="13"/>
        <v>Se percibe por debajo</v>
      </c>
      <c r="X23" s="50">
        <f t="shared" si="14"/>
        <v>4</v>
      </c>
      <c r="Y23" s="47" t="str">
        <f t="shared" si="15"/>
        <v>Error humano predomina</v>
      </c>
      <c r="Z23" s="50" t="str">
        <f t="shared" si="16"/>
        <v>Dentro de los errores</v>
      </c>
      <c r="AA23" s="39" t="str">
        <f t="shared" si="17"/>
        <v>No se adapta, error humano</v>
      </c>
      <c r="AB23" s="50" t="str">
        <f t="shared" si="18"/>
        <v>Acepto</v>
      </c>
      <c r="AC23" s="39" t="str">
        <f t="shared" si="19"/>
        <v>No valido</v>
      </c>
    </row>
    <row r="24" spans="1:29">
      <c r="A24" s="57" t="s">
        <v>56</v>
      </c>
      <c r="B24" s="28"/>
      <c r="C24" s="14">
        <v>1006</v>
      </c>
      <c r="D24" s="19">
        <v>1024</v>
      </c>
      <c r="E24" s="14">
        <v>47</v>
      </c>
      <c r="F24" s="14">
        <v>49</v>
      </c>
      <c r="H24" s="38">
        <v>2</v>
      </c>
      <c r="I24" s="39" t="str">
        <f t="shared" si="5"/>
        <v>NO</v>
      </c>
      <c r="J24" s="49">
        <f t="shared" si="20"/>
        <v>167.66666666666666</v>
      </c>
      <c r="K24" s="44">
        <f t="shared" si="0"/>
        <v>1173.6666666666667</v>
      </c>
      <c r="L24" s="45">
        <f t="shared" si="1"/>
        <v>838.33333333333337</v>
      </c>
      <c r="M24" s="43" t="str">
        <f t="shared" si="6"/>
        <v>Si</v>
      </c>
      <c r="N24" s="44">
        <f t="shared" si="7"/>
        <v>10.06</v>
      </c>
      <c r="O24" s="44">
        <f t="shared" si="2"/>
        <v>1016.06</v>
      </c>
      <c r="P24" s="45">
        <f t="shared" si="3"/>
        <v>995.94</v>
      </c>
      <c r="Q24" s="39" t="str">
        <f t="shared" si="4"/>
        <v>NO</v>
      </c>
      <c r="R24" s="50">
        <f t="shared" si="8"/>
        <v>-18</v>
      </c>
      <c r="S24" s="47" t="str">
        <f t="shared" si="9"/>
        <v>Mas grave el tinnitus</v>
      </c>
      <c r="T24" s="50">
        <f t="shared" si="10"/>
        <v>-149.66666666666666</v>
      </c>
      <c r="U24" s="47" t="str">
        <f t="shared" si="11"/>
        <v>Error tonal/6</v>
      </c>
      <c r="V24" s="50">
        <f t="shared" si="12"/>
        <v>-2</v>
      </c>
      <c r="W24" s="47" t="str">
        <f t="shared" si="13"/>
        <v>Se percibe por encima</v>
      </c>
      <c r="X24" s="50">
        <f t="shared" si="14"/>
        <v>0</v>
      </c>
      <c r="Y24" s="47" t="str">
        <f t="shared" si="15"/>
        <v>Error sonoro</v>
      </c>
      <c r="Z24" s="50" t="str">
        <f t="shared" si="16"/>
        <v>Dentro de los errores</v>
      </c>
      <c r="AA24" s="39" t="str">
        <f t="shared" si="17"/>
        <v>Dentro de los errores</v>
      </c>
      <c r="AB24" s="50" t="str">
        <f t="shared" si="18"/>
        <v>Acepto</v>
      </c>
      <c r="AC24" s="39" t="str">
        <f t="shared" si="19"/>
        <v>Acepto</v>
      </c>
    </row>
    <row r="25" spans="1:29">
      <c r="A25" s="57" t="s">
        <v>57</v>
      </c>
      <c r="B25" s="28"/>
      <c r="C25" s="14">
        <v>1006</v>
      </c>
      <c r="D25" s="19">
        <v>1038</v>
      </c>
      <c r="E25" s="14">
        <v>47</v>
      </c>
      <c r="F25" s="14">
        <v>46</v>
      </c>
      <c r="H25" s="38">
        <v>2</v>
      </c>
      <c r="I25" s="39" t="str">
        <f t="shared" si="5"/>
        <v>SI</v>
      </c>
      <c r="J25" s="49">
        <f t="shared" si="20"/>
        <v>167.66666666666666</v>
      </c>
      <c r="K25" s="44">
        <f t="shared" si="0"/>
        <v>1173.6666666666667</v>
      </c>
      <c r="L25" s="45">
        <f t="shared" si="1"/>
        <v>838.33333333333337</v>
      </c>
      <c r="M25" s="43" t="str">
        <f t="shared" si="6"/>
        <v>Si</v>
      </c>
      <c r="N25" s="44">
        <f t="shared" si="7"/>
        <v>10.06</v>
      </c>
      <c r="O25" s="44">
        <f t="shared" si="2"/>
        <v>1016.06</v>
      </c>
      <c r="P25" s="45">
        <f t="shared" si="3"/>
        <v>995.94</v>
      </c>
      <c r="Q25" s="39" t="str">
        <f t="shared" si="4"/>
        <v>NO</v>
      </c>
      <c r="R25" s="50">
        <f t="shared" si="8"/>
        <v>-32</v>
      </c>
      <c r="S25" s="47" t="str">
        <f t="shared" si="9"/>
        <v>Mas grave el tinnitus</v>
      </c>
      <c r="T25" s="50">
        <f t="shared" si="10"/>
        <v>-135.66666666666666</v>
      </c>
      <c r="U25" s="47" t="str">
        <f t="shared" si="11"/>
        <v>Error tonal/6</v>
      </c>
      <c r="V25" s="50">
        <f t="shared" si="12"/>
        <v>1</v>
      </c>
      <c r="W25" s="47" t="str">
        <f t="shared" si="13"/>
        <v>Se percibe por debajo</v>
      </c>
      <c r="X25" s="50">
        <f t="shared" si="14"/>
        <v>-1</v>
      </c>
      <c r="Y25" s="47" t="str">
        <f t="shared" si="15"/>
        <v>Error sonoro</v>
      </c>
      <c r="Z25" s="50" t="str">
        <f t="shared" si="16"/>
        <v>Dentro de los errores</v>
      </c>
      <c r="AA25" s="39" t="str">
        <f t="shared" si="17"/>
        <v>Dentro de los errores</v>
      </c>
      <c r="AB25" s="50" t="str">
        <f t="shared" si="18"/>
        <v>Acepto</v>
      </c>
      <c r="AC25" s="39" t="str">
        <f t="shared" si="19"/>
        <v>Acepto</v>
      </c>
    </row>
    <row r="26" spans="1:29">
      <c r="B26" s="30" t="s">
        <v>53</v>
      </c>
      <c r="C26" s="29">
        <f>AVERAGE(C23:C25)</f>
        <v>1006</v>
      </c>
      <c r="D26" s="29">
        <f>AVERAGE(D23:D25)</f>
        <v>1033.3333333333333</v>
      </c>
      <c r="E26" s="29">
        <f>AVERAGE(E23:E25)</f>
        <v>47</v>
      </c>
      <c r="F26" s="29">
        <f>AVERAGE(F23:F25)</f>
        <v>45.333333333333336</v>
      </c>
      <c r="H26" s="31">
        <v>2</v>
      </c>
      <c r="I26" s="32" t="str">
        <f t="shared" si="5"/>
        <v>SI</v>
      </c>
      <c r="J26" s="33">
        <f t="shared" si="20"/>
        <v>167.66666666666666</v>
      </c>
      <c r="K26" s="34">
        <f t="shared" si="0"/>
        <v>1173.6666666666667</v>
      </c>
      <c r="L26" s="35">
        <f t="shared" si="1"/>
        <v>838.33333333333337</v>
      </c>
      <c r="M26" s="36" t="str">
        <f t="shared" si="6"/>
        <v>Si</v>
      </c>
      <c r="N26" s="34">
        <f t="shared" si="7"/>
        <v>10.06</v>
      </c>
      <c r="O26" s="34">
        <f t="shared" si="2"/>
        <v>1016.06</v>
      </c>
      <c r="P26" s="35">
        <f t="shared" si="3"/>
        <v>995.94</v>
      </c>
      <c r="Q26" s="32" t="str">
        <f t="shared" si="4"/>
        <v>NO</v>
      </c>
      <c r="R26" s="55">
        <f t="shared" si="8"/>
        <v>-27.333333333333258</v>
      </c>
      <c r="S26" s="56" t="str">
        <f t="shared" si="9"/>
        <v>Mas grave el tinnitus</v>
      </c>
      <c r="T26" s="37">
        <f t="shared" si="10"/>
        <v>-140.3333333333334</v>
      </c>
      <c r="U26" s="32" t="str">
        <f t="shared" si="11"/>
        <v>Error tonal/6</v>
      </c>
      <c r="V26" s="37">
        <f t="shared" si="12"/>
        <v>1.6666666666666643</v>
      </c>
      <c r="W26" s="32" t="str">
        <f t="shared" si="13"/>
        <v>Se percibe por debajo</v>
      </c>
      <c r="X26" s="37">
        <f t="shared" si="14"/>
        <v>-0.3333333333333357</v>
      </c>
      <c r="Y26" s="32" t="str">
        <f t="shared" si="15"/>
        <v>Error sonoro</v>
      </c>
      <c r="Z26" s="55" t="str">
        <f t="shared" si="16"/>
        <v>Dentro de los errores</v>
      </c>
      <c r="AA26" s="53" t="str">
        <f t="shared" si="17"/>
        <v>Dentro de los errores</v>
      </c>
      <c r="AB26" s="55" t="str">
        <f t="shared" si="18"/>
        <v>Acepto</v>
      </c>
      <c r="AC26" s="56" t="str">
        <f t="shared" si="19"/>
        <v>Acepto</v>
      </c>
    </row>
    <row r="27" spans="1:29">
      <c r="A27" s="57" t="s">
        <v>55</v>
      </c>
      <c r="B27" s="28">
        <v>2</v>
      </c>
      <c r="C27" s="14">
        <v>4488</v>
      </c>
      <c r="D27" s="19">
        <v>6514</v>
      </c>
      <c r="E27" s="14">
        <v>34.700000000000003</v>
      </c>
      <c r="F27" s="14">
        <v>42</v>
      </c>
      <c r="H27" s="38">
        <v>2</v>
      </c>
      <c r="I27" s="39" t="str">
        <f t="shared" si="5"/>
        <v>NO</v>
      </c>
      <c r="J27" s="49">
        <f t="shared" si="20"/>
        <v>748</v>
      </c>
      <c r="K27" s="44">
        <f t="shared" si="0"/>
        <v>5236</v>
      </c>
      <c r="L27" s="45">
        <f t="shared" si="1"/>
        <v>3740</v>
      </c>
      <c r="M27" s="43" t="str">
        <f t="shared" si="6"/>
        <v>NO</v>
      </c>
      <c r="N27" s="44">
        <f t="shared" si="7"/>
        <v>44.88</v>
      </c>
      <c r="O27" s="44">
        <f t="shared" si="2"/>
        <v>4532.88</v>
      </c>
      <c r="P27" s="45">
        <f t="shared" si="3"/>
        <v>4443.12</v>
      </c>
      <c r="Q27" s="39" t="str">
        <f t="shared" si="4"/>
        <v>NO</v>
      </c>
      <c r="R27" s="50">
        <f t="shared" si="8"/>
        <v>-2026</v>
      </c>
      <c r="S27" s="47" t="str">
        <f t="shared" si="9"/>
        <v>Mas grave el tinnitus</v>
      </c>
      <c r="T27" s="50">
        <f t="shared" si="10"/>
        <v>1278</v>
      </c>
      <c r="U27" s="47" t="str">
        <f t="shared" si="11"/>
        <v>Error humano predomina</v>
      </c>
      <c r="V27" s="50">
        <f t="shared" si="12"/>
        <v>-7.2999999999999972</v>
      </c>
      <c r="W27" s="47" t="str">
        <f t="shared" si="13"/>
        <v>Se percibe por encima</v>
      </c>
      <c r="X27" s="50">
        <f>ABS(V27)-H27</f>
        <v>5.2999999999999972</v>
      </c>
      <c r="Y27" s="47" t="str">
        <f t="shared" si="15"/>
        <v>Error humano predomina</v>
      </c>
      <c r="Z27" s="50" t="str">
        <f t="shared" si="16"/>
        <v>No se adapta, error humano</v>
      </c>
      <c r="AA27" s="39" t="str">
        <f t="shared" si="17"/>
        <v>No se adapta, error humano</v>
      </c>
      <c r="AB27" s="50" t="str">
        <f>IF(ABS(R27)&lt;J27, "Acepto", "No acepto")</f>
        <v>No acepto</v>
      </c>
      <c r="AC27" s="39" t="str">
        <f t="shared" si="19"/>
        <v>No valido</v>
      </c>
    </row>
    <row r="28" spans="1:29">
      <c r="A28" s="57" t="s">
        <v>56</v>
      </c>
      <c r="B28" s="28"/>
      <c r="C28" s="14">
        <v>4488</v>
      </c>
      <c r="D28" s="19">
        <v>5026</v>
      </c>
      <c r="E28" s="14">
        <v>34.700000000000003</v>
      </c>
      <c r="F28" s="14">
        <v>45</v>
      </c>
      <c r="H28" s="38">
        <v>2</v>
      </c>
      <c r="I28" s="39" t="str">
        <f t="shared" si="5"/>
        <v>NO</v>
      </c>
      <c r="J28" s="49">
        <f t="shared" si="20"/>
        <v>748</v>
      </c>
      <c r="K28" s="44">
        <f t="shared" si="0"/>
        <v>5236</v>
      </c>
      <c r="L28" s="45">
        <f t="shared" si="1"/>
        <v>3740</v>
      </c>
      <c r="M28" s="43" t="str">
        <f t="shared" si="6"/>
        <v>Si</v>
      </c>
      <c r="N28" s="44">
        <f t="shared" si="7"/>
        <v>44.88</v>
      </c>
      <c r="O28" s="44">
        <f t="shared" si="2"/>
        <v>4532.88</v>
      </c>
      <c r="P28" s="45">
        <f t="shared" si="3"/>
        <v>4443.12</v>
      </c>
      <c r="Q28" s="39" t="str">
        <f t="shared" si="4"/>
        <v>NO</v>
      </c>
      <c r="R28" s="50">
        <f t="shared" si="8"/>
        <v>-538</v>
      </c>
      <c r="S28" s="47" t="str">
        <f t="shared" si="9"/>
        <v>Mas grave el tinnitus</v>
      </c>
      <c r="T28" s="50">
        <f t="shared" si="10"/>
        <v>-210</v>
      </c>
      <c r="U28" s="47" t="str">
        <f t="shared" si="11"/>
        <v>Error tonal/6</v>
      </c>
      <c r="V28" s="50">
        <f t="shared" si="12"/>
        <v>-10.299999999999997</v>
      </c>
      <c r="W28" s="47" t="str">
        <f t="shared" si="13"/>
        <v>Se percibe por encima</v>
      </c>
      <c r="X28" s="50">
        <f t="shared" si="14"/>
        <v>8.2999999999999972</v>
      </c>
      <c r="Y28" s="47" t="str">
        <f t="shared" si="15"/>
        <v>Error humano predomina</v>
      </c>
      <c r="Z28" s="50" t="str">
        <f t="shared" si="16"/>
        <v>Dentro de los errores</v>
      </c>
      <c r="AA28" s="39" t="str">
        <f t="shared" si="17"/>
        <v>No se adapta, error humano</v>
      </c>
      <c r="AB28" s="50" t="str">
        <f t="shared" si="18"/>
        <v>Acepto</v>
      </c>
      <c r="AC28" s="39" t="str">
        <f t="shared" si="19"/>
        <v>No valido</v>
      </c>
    </row>
    <row r="29" spans="1:29">
      <c r="A29" s="57" t="s">
        <v>57</v>
      </c>
      <c r="B29" s="28"/>
      <c r="C29" s="14">
        <v>4488</v>
      </c>
      <c r="D29" s="19">
        <v>4653</v>
      </c>
      <c r="E29" s="14">
        <v>34.700000000000003</v>
      </c>
      <c r="F29" s="14">
        <v>38</v>
      </c>
      <c r="H29" s="38">
        <v>2</v>
      </c>
      <c r="I29" s="39" t="str">
        <f t="shared" si="5"/>
        <v>NO</v>
      </c>
      <c r="J29" s="49">
        <f t="shared" si="20"/>
        <v>748</v>
      </c>
      <c r="K29" s="44">
        <f t="shared" si="0"/>
        <v>5236</v>
      </c>
      <c r="L29" s="45">
        <f t="shared" si="1"/>
        <v>3740</v>
      </c>
      <c r="M29" s="43" t="str">
        <f t="shared" si="6"/>
        <v>Si</v>
      </c>
      <c r="N29" s="44">
        <f t="shared" si="7"/>
        <v>44.88</v>
      </c>
      <c r="O29" s="44">
        <f t="shared" si="2"/>
        <v>4532.88</v>
      </c>
      <c r="P29" s="45">
        <f t="shared" si="3"/>
        <v>4443.12</v>
      </c>
      <c r="Q29" s="39" t="str">
        <f t="shared" si="4"/>
        <v>NO</v>
      </c>
      <c r="R29" s="50">
        <f t="shared" si="8"/>
        <v>-165</v>
      </c>
      <c r="S29" s="47" t="str">
        <f t="shared" si="9"/>
        <v>Mas grave el tinnitus</v>
      </c>
      <c r="T29" s="50">
        <f t="shared" si="10"/>
        <v>-583</v>
      </c>
      <c r="U29" s="47" t="str">
        <f t="shared" si="11"/>
        <v>Error tonal/6</v>
      </c>
      <c r="V29" s="50">
        <f t="shared" si="12"/>
        <v>-3.2999999999999972</v>
      </c>
      <c r="W29" s="47" t="str">
        <f t="shared" si="13"/>
        <v>Se percibe por encima</v>
      </c>
      <c r="X29" s="50">
        <f t="shared" si="14"/>
        <v>1.2999999999999972</v>
      </c>
      <c r="Y29" s="47" t="str">
        <f t="shared" si="15"/>
        <v>Error humano predomina</v>
      </c>
      <c r="Z29" s="50" t="str">
        <f t="shared" si="16"/>
        <v>Dentro de los errores</v>
      </c>
      <c r="AA29" s="39" t="str">
        <f>IF(X29&gt;0, "No se adapta, error humano","Dentro de los errores")</f>
        <v>No se adapta, error humano</v>
      </c>
      <c r="AB29" s="50" t="str">
        <f t="shared" si="18"/>
        <v>Acepto</v>
      </c>
      <c r="AC29" s="39" t="str">
        <f t="shared" si="19"/>
        <v>Acepto</v>
      </c>
    </row>
    <row r="30" spans="1:29">
      <c r="A30" s="9"/>
      <c r="B30" s="30" t="s">
        <v>53</v>
      </c>
      <c r="C30" s="29">
        <f>AVERAGE(C27:C29)</f>
        <v>4488</v>
      </c>
      <c r="D30" s="29">
        <f>AVERAGE(D27:D29)</f>
        <v>5397.666666666667</v>
      </c>
      <c r="E30" s="29">
        <f>AVERAGE(E27:E29)</f>
        <v>34.700000000000003</v>
      </c>
      <c r="F30" s="29">
        <f>AVERAGE(F27:F29)</f>
        <v>41.666666666666664</v>
      </c>
      <c r="H30" s="31">
        <v>2</v>
      </c>
      <c r="I30" s="32" t="str">
        <f t="shared" si="5"/>
        <v>NO</v>
      </c>
      <c r="J30" s="33">
        <f t="shared" si="20"/>
        <v>748</v>
      </c>
      <c r="K30" s="34">
        <f t="shared" si="0"/>
        <v>5236</v>
      </c>
      <c r="L30" s="35">
        <f t="shared" si="1"/>
        <v>3740</v>
      </c>
      <c r="M30" s="36" t="str">
        <f t="shared" si="6"/>
        <v>NO</v>
      </c>
      <c r="N30" s="34">
        <f t="shared" si="7"/>
        <v>44.88</v>
      </c>
      <c r="O30" s="34">
        <f t="shared" si="2"/>
        <v>4532.88</v>
      </c>
      <c r="P30" s="35">
        <f t="shared" si="3"/>
        <v>4443.12</v>
      </c>
      <c r="Q30" s="32" t="str">
        <f t="shared" si="4"/>
        <v>NO</v>
      </c>
      <c r="R30" s="55">
        <f t="shared" si="8"/>
        <v>-909.66666666666697</v>
      </c>
      <c r="S30" s="56" t="str">
        <f t="shared" si="9"/>
        <v>Mas grave el tinnitus</v>
      </c>
      <c r="T30" s="37">
        <f t="shared" si="10"/>
        <v>161.66666666666697</v>
      </c>
      <c r="U30" s="32" t="str">
        <f t="shared" si="11"/>
        <v>Error humano predomina</v>
      </c>
      <c r="V30" s="37">
        <f>E30-F30</f>
        <v>-6.9666666666666615</v>
      </c>
      <c r="W30" s="32" t="str">
        <f t="shared" si="13"/>
        <v>Se percibe por encima</v>
      </c>
      <c r="X30" s="37">
        <f t="shared" si="14"/>
        <v>4.9666666666666615</v>
      </c>
      <c r="Y30" s="32" t="str">
        <f t="shared" si="15"/>
        <v>Error humano predomina</v>
      </c>
      <c r="Z30" s="55" t="str">
        <f t="shared" si="16"/>
        <v>No se adapta, error humano</v>
      </c>
      <c r="AA30" s="53" t="str">
        <f t="shared" si="17"/>
        <v>No se adapta, error humano</v>
      </c>
      <c r="AB30" s="55" t="str">
        <f t="shared" si="18"/>
        <v>No acepto</v>
      </c>
      <c r="AC30" s="56" t="str">
        <f t="shared" si="19"/>
        <v>No valido</v>
      </c>
    </row>
    <row r="31" spans="1:29">
      <c r="A31" s="57" t="s">
        <v>55</v>
      </c>
      <c r="B31" s="28">
        <v>3</v>
      </c>
      <c r="C31" s="19">
        <v>7728</v>
      </c>
      <c r="D31" s="14">
        <v>7600</v>
      </c>
      <c r="E31" s="14">
        <v>58.5</v>
      </c>
      <c r="F31" s="14">
        <v>55</v>
      </c>
      <c r="H31" s="38">
        <v>2</v>
      </c>
      <c r="I31" s="39" t="str">
        <f t="shared" si="5"/>
        <v>NO</v>
      </c>
      <c r="J31" s="49">
        <f t="shared" si="20"/>
        <v>1288</v>
      </c>
      <c r="K31" s="44">
        <f t="shared" si="0"/>
        <v>9016</v>
      </c>
      <c r="L31" s="45">
        <f t="shared" si="1"/>
        <v>6440</v>
      </c>
      <c r="M31" s="43" t="str">
        <f t="shared" si="6"/>
        <v>Si</v>
      </c>
      <c r="N31" s="44">
        <f t="shared" si="7"/>
        <v>77.28</v>
      </c>
      <c r="O31" s="44">
        <f t="shared" si="2"/>
        <v>7805.28</v>
      </c>
      <c r="P31" s="45">
        <f t="shared" si="3"/>
        <v>7650.72</v>
      </c>
      <c r="Q31" s="39" t="str">
        <f t="shared" si="4"/>
        <v>NO</v>
      </c>
      <c r="R31" s="50">
        <f t="shared" si="8"/>
        <v>128</v>
      </c>
      <c r="S31" s="47" t="str">
        <f t="shared" si="9"/>
        <v>Mas agudo el tinnitus</v>
      </c>
      <c r="T31" s="50">
        <f t="shared" si="10"/>
        <v>-1160</v>
      </c>
      <c r="U31" s="47" t="str">
        <f t="shared" si="11"/>
        <v>Error tonal/6</v>
      </c>
      <c r="V31" s="50">
        <f t="shared" si="12"/>
        <v>3.5</v>
      </c>
      <c r="W31" s="47" t="str">
        <f t="shared" si="13"/>
        <v>Se percibe por debajo</v>
      </c>
      <c r="X31" s="50">
        <f t="shared" si="14"/>
        <v>1.5</v>
      </c>
      <c r="Y31" s="47" t="str">
        <f t="shared" si="15"/>
        <v>Error humano predomina</v>
      </c>
      <c r="Z31" s="50" t="str">
        <f t="shared" si="16"/>
        <v>Dentro de los errores</v>
      </c>
      <c r="AA31" s="39" t="str">
        <f t="shared" si="17"/>
        <v>No se adapta, error humano</v>
      </c>
      <c r="AB31" s="50" t="str">
        <f t="shared" si="18"/>
        <v>Acepto</v>
      </c>
      <c r="AC31" s="39" t="str">
        <f t="shared" si="19"/>
        <v>Acepto</v>
      </c>
    </row>
    <row r="32" spans="1:29">
      <c r="A32" s="57" t="s">
        <v>56</v>
      </c>
      <c r="B32" s="28"/>
      <c r="C32" s="19">
        <v>7728</v>
      </c>
      <c r="D32" s="14">
        <v>7708</v>
      </c>
      <c r="E32" s="14">
        <v>58.5</v>
      </c>
      <c r="F32" s="14">
        <v>58</v>
      </c>
      <c r="H32" s="38">
        <v>2</v>
      </c>
      <c r="I32" s="39" t="str">
        <f t="shared" si="5"/>
        <v>SI</v>
      </c>
      <c r="J32" s="49">
        <f t="shared" si="20"/>
        <v>1288</v>
      </c>
      <c r="K32" s="44">
        <f t="shared" si="0"/>
        <v>9016</v>
      </c>
      <c r="L32" s="45">
        <f t="shared" si="1"/>
        <v>6440</v>
      </c>
      <c r="M32" s="43" t="str">
        <f t="shared" si="6"/>
        <v>Si</v>
      </c>
      <c r="N32" s="44">
        <f t="shared" si="7"/>
        <v>77.28</v>
      </c>
      <c r="O32" s="44">
        <f t="shared" si="2"/>
        <v>7805.28</v>
      </c>
      <c r="P32" s="45">
        <f t="shared" si="3"/>
        <v>7650.72</v>
      </c>
      <c r="Q32" s="39" t="str">
        <f t="shared" si="4"/>
        <v>Si</v>
      </c>
      <c r="R32" s="50">
        <f t="shared" si="8"/>
        <v>20</v>
      </c>
      <c r="S32" s="47" t="str">
        <f t="shared" si="9"/>
        <v>Mas agudo el tinnitus</v>
      </c>
      <c r="T32" s="50">
        <f t="shared" si="10"/>
        <v>-1268</v>
      </c>
      <c r="U32" s="47" t="str">
        <f t="shared" si="11"/>
        <v>Error tonal/6</v>
      </c>
      <c r="V32" s="50">
        <f t="shared" si="12"/>
        <v>0.5</v>
      </c>
      <c r="W32" s="47" t="str">
        <f t="shared" si="13"/>
        <v>Se percibe por debajo</v>
      </c>
      <c r="X32" s="50">
        <f t="shared" si="14"/>
        <v>-1.5</v>
      </c>
      <c r="Y32" s="47" t="str">
        <f t="shared" si="15"/>
        <v>Error sonoro</v>
      </c>
      <c r="Z32" s="50" t="str">
        <f t="shared" si="16"/>
        <v>Dentro de los errores</v>
      </c>
      <c r="AA32" s="39" t="str">
        <f t="shared" si="17"/>
        <v>Dentro de los errores</v>
      </c>
      <c r="AB32" s="50" t="str">
        <f t="shared" si="18"/>
        <v>Acepto</v>
      </c>
      <c r="AC32" s="39" t="str">
        <f t="shared" si="19"/>
        <v>Acepto</v>
      </c>
    </row>
    <row r="33" spans="1:30">
      <c r="A33" s="57" t="s">
        <v>57</v>
      </c>
      <c r="B33" s="28"/>
      <c r="C33" s="14">
        <v>7728</v>
      </c>
      <c r="D33" s="19">
        <v>8325</v>
      </c>
      <c r="E33" s="14">
        <v>58.5</v>
      </c>
      <c r="F33" s="14">
        <v>59</v>
      </c>
      <c r="H33" s="51">
        <v>2</v>
      </c>
      <c r="I33" s="39" t="str">
        <f t="shared" si="5"/>
        <v>SI</v>
      </c>
      <c r="J33" s="49">
        <f t="shared" si="20"/>
        <v>1288</v>
      </c>
      <c r="K33" s="44">
        <f t="shared" si="0"/>
        <v>9016</v>
      </c>
      <c r="L33" s="45">
        <f t="shared" si="1"/>
        <v>6440</v>
      </c>
      <c r="M33" s="43" t="str">
        <f t="shared" si="6"/>
        <v>Si</v>
      </c>
      <c r="N33" s="44">
        <f t="shared" si="7"/>
        <v>77.28</v>
      </c>
      <c r="O33" s="44">
        <f t="shared" si="2"/>
        <v>7805.28</v>
      </c>
      <c r="P33" s="45">
        <f t="shared" si="3"/>
        <v>7650.72</v>
      </c>
      <c r="Q33" s="39" t="str">
        <f t="shared" si="4"/>
        <v>NO</v>
      </c>
      <c r="R33" s="50">
        <f t="shared" si="8"/>
        <v>-597</v>
      </c>
      <c r="S33" s="47" t="str">
        <f t="shared" si="9"/>
        <v>Mas grave el tinnitus</v>
      </c>
      <c r="T33" s="50">
        <f t="shared" si="10"/>
        <v>-691</v>
      </c>
      <c r="U33" s="47" t="str">
        <f t="shared" si="11"/>
        <v>Error tonal/6</v>
      </c>
      <c r="V33" s="50">
        <f t="shared" si="12"/>
        <v>-0.5</v>
      </c>
      <c r="W33" s="47" t="str">
        <f t="shared" si="13"/>
        <v>Se percibe por encima</v>
      </c>
      <c r="X33" s="50">
        <f t="shared" si="14"/>
        <v>-1.5</v>
      </c>
      <c r="Y33" s="47" t="str">
        <f t="shared" si="15"/>
        <v>Error sonoro</v>
      </c>
      <c r="Z33" s="50" t="str">
        <f t="shared" si="16"/>
        <v>Dentro de los errores</v>
      </c>
      <c r="AA33" s="39" t="str">
        <f t="shared" si="17"/>
        <v>Dentro de los errores</v>
      </c>
      <c r="AB33" s="50" t="str">
        <f t="shared" si="18"/>
        <v>Acepto</v>
      </c>
      <c r="AC33" s="39" t="str">
        <f t="shared" si="19"/>
        <v>Acepto</v>
      </c>
    </row>
    <row r="34" spans="1:30">
      <c r="B34" s="30" t="s">
        <v>53</v>
      </c>
      <c r="C34" s="29">
        <f>AVERAGE(C31:C33)</f>
        <v>7728</v>
      </c>
      <c r="D34" s="29">
        <f>AVERAGE(D31:D33)</f>
        <v>7877.666666666667</v>
      </c>
      <c r="E34" s="29">
        <f>AVERAGE(E31:E33)</f>
        <v>58.5</v>
      </c>
      <c r="F34" s="29">
        <f>AVERAGE(F31:F33)</f>
        <v>57.333333333333336</v>
      </c>
      <c r="H34" s="31">
        <v>2</v>
      </c>
      <c r="I34" s="32" t="str">
        <f t="shared" ref="I34:I70" si="21">IF(ABS(E34-F34)&lt;H34, "SI", "NO")</f>
        <v>SI</v>
      </c>
      <c r="J34" s="33">
        <f t="shared" ref="J34:J70" si="22">C34/6</f>
        <v>1288</v>
      </c>
      <c r="K34" s="34">
        <f t="shared" ref="K34:K70" si="23">C34+J34</f>
        <v>9016</v>
      </c>
      <c r="L34" s="35">
        <f t="shared" ref="L34:L70" si="24">C34-J34</f>
        <v>6440</v>
      </c>
      <c r="M34" s="36" t="str">
        <f t="shared" ref="M34:M70" si="25">IF(AND(D34&lt;K34, D34&gt;L34), "Si", "NO")</f>
        <v>Si</v>
      </c>
      <c r="N34" s="34">
        <f t="shared" ref="N34:N70" si="26">C34*$N$16</f>
        <v>77.28</v>
      </c>
      <c r="O34" s="34">
        <f t="shared" ref="O34:O70" si="27">N34+C34</f>
        <v>7805.28</v>
      </c>
      <c r="P34" s="35">
        <f t="shared" ref="P34:P70" si="28">C34-N34</f>
        <v>7650.72</v>
      </c>
      <c r="Q34" s="32" t="str">
        <f t="shared" ref="Q34:Q70" si="29">IF(AND(D34&lt;O34, D34&gt;P34), "Si", "NO")</f>
        <v>NO</v>
      </c>
      <c r="R34" s="55">
        <f t="shared" ref="R34:R70" si="30">C34-D34</f>
        <v>-149.66666666666697</v>
      </c>
      <c r="S34" s="56" t="str">
        <f t="shared" si="9"/>
        <v>Mas grave el tinnitus</v>
      </c>
      <c r="T34" s="37">
        <f t="shared" ref="T34:T70" si="31">ABS(R34)-J34</f>
        <v>-1138.333333333333</v>
      </c>
      <c r="U34" s="32" t="str">
        <f t="shared" si="11"/>
        <v>Error tonal/6</v>
      </c>
      <c r="V34" s="37">
        <f t="shared" ref="V34:V70" si="32">E34-F34</f>
        <v>1.1666666666666643</v>
      </c>
      <c r="W34" s="32" t="str">
        <f t="shared" si="13"/>
        <v>Se percibe por debajo</v>
      </c>
      <c r="X34" s="37">
        <f t="shared" ref="X34:X70" si="33">ABS(V34)-H34</f>
        <v>-0.8333333333333357</v>
      </c>
      <c r="Y34" s="32" t="str">
        <f t="shared" si="15"/>
        <v>Error sonoro</v>
      </c>
      <c r="Z34" s="55" t="str">
        <f t="shared" ref="Z34:Z70" si="34">IF(T34&gt;0, "No se adapta, error humano","Dentro de los errores")</f>
        <v>Dentro de los errores</v>
      </c>
      <c r="AA34" s="53" t="str">
        <f t="shared" ref="AA34:AA70" si="35">IF(X34&gt;0, "No se adapta, error humano","Dentro de los errores")</f>
        <v>Dentro de los errores</v>
      </c>
      <c r="AB34" s="55" t="str">
        <f t="shared" si="18"/>
        <v>Acepto</v>
      </c>
      <c r="AC34" s="56" t="str">
        <f t="shared" si="19"/>
        <v>Acepto</v>
      </c>
    </row>
    <row r="35" spans="1:30">
      <c r="A35" s="57" t="s">
        <v>55</v>
      </c>
      <c r="B35" s="28">
        <v>4</v>
      </c>
      <c r="C35" s="14">
        <v>7772</v>
      </c>
      <c r="D35" s="19">
        <v>8325</v>
      </c>
      <c r="E35" s="14">
        <v>30.5</v>
      </c>
      <c r="F35" s="14">
        <v>28</v>
      </c>
      <c r="H35" s="51">
        <v>2</v>
      </c>
      <c r="I35" s="39" t="str">
        <f t="shared" si="21"/>
        <v>NO</v>
      </c>
      <c r="J35" s="49">
        <f t="shared" si="22"/>
        <v>1295.3333333333333</v>
      </c>
      <c r="K35" s="44">
        <f t="shared" si="23"/>
        <v>9067.3333333333339</v>
      </c>
      <c r="L35" s="45">
        <f t="shared" si="24"/>
        <v>6476.666666666667</v>
      </c>
      <c r="M35" s="43" t="str">
        <f t="shared" si="25"/>
        <v>Si</v>
      </c>
      <c r="N35" s="44">
        <f t="shared" si="26"/>
        <v>77.72</v>
      </c>
      <c r="O35" s="44">
        <f t="shared" si="27"/>
        <v>7849.72</v>
      </c>
      <c r="P35" s="45">
        <f t="shared" si="28"/>
        <v>7694.28</v>
      </c>
      <c r="Q35" s="39" t="str">
        <f t="shared" si="29"/>
        <v>NO</v>
      </c>
      <c r="R35" s="50">
        <f t="shared" si="30"/>
        <v>-553</v>
      </c>
      <c r="S35" s="47" t="str">
        <f t="shared" si="9"/>
        <v>Mas grave el tinnitus</v>
      </c>
      <c r="T35" s="50">
        <f t="shared" si="31"/>
        <v>-742.33333333333326</v>
      </c>
      <c r="U35" s="47" t="str">
        <f t="shared" si="11"/>
        <v>Error tonal/6</v>
      </c>
      <c r="V35" s="50">
        <f t="shared" si="32"/>
        <v>2.5</v>
      </c>
      <c r="W35" s="47" t="str">
        <f t="shared" si="13"/>
        <v>Se percibe por debajo</v>
      </c>
      <c r="X35" s="50">
        <f t="shared" si="33"/>
        <v>0.5</v>
      </c>
      <c r="Y35" s="47" t="str">
        <f t="shared" si="15"/>
        <v>Error humano predomina</v>
      </c>
      <c r="Z35" s="50" t="str">
        <f t="shared" si="34"/>
        <v>Dentro de los errores</v>
      </c>
      <c r="AA35" s="39" t="str">
        <f t="shared" si="35"/>
        <v>No se adapta, error humano</v>
      </c>
      <c r="AB35" s="50" t="str">
        <f t="shared" si="18"/>
        <v>Acepto</v>
      </c>
      <c r="AC35" s="39" t="str">
        <f t="shared" si="19"/>
        <v>Acepto</v>
      </c>
    </row>
    <row r="36" spans="1:30">
      <c r="A36" s="57" t="s">
        <v>56</v>
      </c>
      <c r="B36" s="28"/>
      <c r="C36" s="14">
        <v>7772</v>
      </c>
      <c r="D36" s="19">
        <v>8325</v>
      </c>
      <c r="E36" s="14">
        <v>30.5</v>
      </c>
      <c r="F36" s="14">
        <v>28</v>
      </c>
      <c r="H36" s="51">
        <v>2</v>
      </c>
      <c r="I36" s="39" t="str">
        <f t="shared" si="21"/>
        <v>NO</v>
      </c>
      <c r="J36" s="49">
        <f t="shared" si="22"/>
        <v>1295.3333333333333</v>
      </c>
      <c r="K36" s="44">
        <f t="shared" si="23"/>
        <v>9067.3333333333339</v>
      </c>
      <c r="L36" s="45">
        <f t="shared" si="24"/>
        <v>6476.666666666667</v>
      </c>
      <c r="M36" s="43" t="str">
        <f t="shared" si="25"/>
        <v>Si</v>
      </c>
      <c r="N36" s="44">
        <f t="shared" si="26"/>
        <v>77.72</v>
      </c>
      <c r="O36" s="44">
        <f t="shared" si="27"/>
        <v>7849.72</v>
      </c>
      <c r="P36" s="45">
        <f t="shared" si="28"/>
        <v>7694.28</v>
      </c>
      <c r="Q36" s="39" t="str">
        <f t="shared" si="29"/>
        <v>NO</v>
      </c>
      <c r="R36" s="50">
        <f t="shared" si="30"/>
        <v>-553</v>
      </c>
      <c r="S36" s="47" t="str">
        <f t="shared" si="9"/>
        <v>Mas grave el tinnitus</v>
      </c>
      <c r="T36" s="50">
        <f t="shared" si="31"/>
        <v>-742.33333333333326</v>
      </c>
      <c r="U36" s="47" t="str">
        <f t="shared" si="11"/>
        <v>Error tonal/6</v>
      </c>
      <c r="V36" s="50">
        <f t="shared" si="32"/>
        <v>2.5</v>
      </c>
      <c r="W36" s="47" t="str">
        <f t="shared" si="13"/>
        <v>Se percibe por debajo</v>
      </c>
      <c r="X36" s="50">
        <f t="shared" si="33"/>
        <v>0.5</v>
      </c>
      <c r="Y36" s="47" t="str">
        <f t="shared" si="15"/>
        <v>Error humano predomina</v>
      </c>
      <c r="Z36" s="50" t="str">
        <f t="shared" si="34"/>
        <v>Dentro de los errores</v>
      </c>
      <c r="AA36" s="39" t="str">
        <f t="shared" si="35"/>
        <v>No se adapta, error humano</v>
      </c>
      <c r="AB36" s="50" t="str">
        <f t="shared" si="18"/>
        <v>Acepto</v>
      </c>
      <c r="AC36" s="39" t="str">
        <f t="shared" si="19"/>
        <v>Acepto</v>
      </c>
    </row>
    <row r="37" spans="1:30">
      <c r="A37" s="57" t="s">
        <v>57</v>
      </c>
      <c r="B37" s="28"/>
      <c r="C37" s="14">
        <v>7772</v>
      </c>
      <c r="D37" s="19">
        <v>8325</v>
      </c>
      <c r="E37" s="14">
        <v>30.5</v>
      </c>
      <c r="F37" s="14">
        <v>29</v>
      </c>
      <c r="H37" s="51">
        <v>2</v>
      </c>
      <c r="I37" s="39" t="str">
        <f t="shared" si="21"/>
        <v>SI</v>
      </c>
      <c r="J37" s="49">
        <f t="shared" si="22"/>
        <v>1295.3333333333333</v>
      </c>
      <c r="K37" s="44">
        <f t="shared" si="23"/>
        <v>9067.3333333333339</v>
      </c>
      <c r="L37" s="45">
        <f t="shared" si="24"/>
        <v>6476.666666666667</v>
      </c>
      <c r="M37" s="43" t="str">
        <f t="shared" si="25"/>
        <v>Si</v>
      </c>
      <c r="N37" s="44">
        <f t="shared" si="26"/>
        <v>77.72</v>
      </c>
      <c r="O37" s="44">
        <f t="shared" si="27"/>
        <v>7849.72</v>
      </c>
      <c r="P37" s="45">
        <f t="shared" si="28"/>
        <v>7694.28</v>
      </c>
      <c r="Q37" s="39" t="str">
        <f t="shared" si="29"/>
        <v>NO</v>
      </c>
      <c r="R37" s="50">
        <f t="shared" si="30"/>
        <v>-553</v>
      </c>
      <c r="S37" s="47" t="str">
        <f t="shared" si="9"/>
        <v>Mas grave el tinnitus</v>
      </c>
      <c r="T37" s="50">
        <f t="shared" si="31"/>
        <v>-742.33333333333326</v>
      </c>
      <c r="U37" s="47" t="str">
        <f t="shared" si="11"/>
        <v>Error tonal/6</v>
      </c>
      <c r="V37" s="50">
        <f t="shared" si="32"/>
        <v>1.5</v>
      </c>
      <c r="W37" s="47" t="str">
        <f t="shared" si="13"/>
        <v>Se percibe por debajo</v>
      </c>
      <c r="X37" s="50">
        <f t="shared" si="33"/>
        <v>-0.5</v>
      </c>
      <c r="Y37" s="47" t="str">
        <f t="shared" si="15"/>
        <v>Error sonoro</v>
      </c>
      <c r="Z37" s="50" t="str">
        <f t="shared" si="34"/>
        <v>Dentro de los errores</v>
      </c>
      <c r="AA37" s="39" t="str">
        <f t="shared" si="35"/>
        <v>Dentro de los errores</v>
      </c>
      <c r="AB37" s="50" t="str">
        <f t="shared" si="18"/>
        <v>Acepto</v>
      </c>
      <c r="AC37" s="39" t="str">
        <f t="shared" si="19"/>
        <v>Acepto</v>
      </c>
    </row>
    <row r="38" spans="1:30">
      <c r="B38" s="30" t="s">
        <v>53</v>
      </c>
      <c r="C38" s="29">
        <f>AVERAGE(C35:C37)</f>
        <v>7772</v>
      </c>
      <c r="D38" s="29">
        <f>AVERAGE(D35:D37)</f>
        <v>8325</v>
      </c>
      <c r="E38" s="29">
        <f>AVERAGE(E35:E37)</f>
        <v>30.5</v>
      </c>
      <c r="F38" s="29">
        <f>AVERAGE(F35:F37)</f>
        <v>28.333333333333332</v>
      </c>
      <c r="H38" s="31">
        <v>2</v>
      </c>
      <c r="I38" s="32" t="str">
        <f t="shared" si="21"/>
        <v>NO</v>
      </c>
      <c r="J38" s="33">
        <f t="shared" si="22"/>
        <v>1295.3333333333333</v>
      </c>
      <c r="K38" s="34">
        <f t="shared" si="23"/>
        <v>9067.3333333333339</v>
      </c>
      <c r="L38" s="35">
        <f t="shared" si="24"/>
        <v>6476.666666666667</v>
      </c>
      <c r="M38" s="36" t="str">
        <f t="shared" si="25"/>
        <v>Si</v>
      </c>
      <c r="N38" s="34">
        <f t="shared" si="26"/>
        <v>77.72</v>
      </c>
      <c r="O38" s="34">
        <f t="shared" si="27"/>
        <v>7849.72</v>
      </c>
      <c r="P38" s="35">
        <f t="shared" si="28"/>
        <v>7694.28</v>
      </c>
      <c r="Q38" s="32" t="str">
        <f t="shared" si="29"/>
        <v>NO</v>
      </c>
      <c r="R38" s="55">
        <f t="shared" si="30"/>
        <v>-553</v>
      </c>
      <c r="S38" s="56" t="str">
        <f t="shared" si="9"/>
        <v>Mas grave el tinnitus</v>
      </c>
      <c r="T38" s="37">
        <f t="shared" si="31"/>
        <v>-742.33333333333326</v>
      </c>
      <c r="U38" s="32" t="str">
        <f t="shared" si="11"/>
        <v>Error tonal/6</v>
      </c>
      <c r="V38" s="37">
        <f>E38-F38</f>
        <v>2.1666666666666679</v>
      </c>
      <c r="W38" s="32" t="str">
        <f t="shared" si="13"/>
        <v>Se percibe por debajo</v>
      </c>
      <c r="X38" s="37">
        <f>ABS(V38)-H38</f>
        <v>0.16666666666666785</v>
      </c>
      <c r="Y38" s="32" t="str">
        <f t="shared" si="15"/>
        <v>Error humano predomina</v>
      </c>
      <c r="Z38" s="55" t="str">
        <f t="shared" si="34"/>
        <v>Dentro de los errores</v>
      </c>
      <c r="AA38" s="53" t="str">
        <f>IF(X38&gt;0, "No se adapta, error humano","Dentro de los errores")</f>
        <v>No se adapta, error humano</v>
      </c>
      <c r="AB38" s="55" t="str">
        <f t="shared" si="18"/>
        <v>Acepto</v>
      </c>
      <c r="AC38" s="56" t="str">
        <f t="shared" si="19"/>
        <v>Acepto</v>
      </c>
    </row>
    <row r="39" spans="1:30">
      <c r="A39" s="57" t="s">
        <v>55</v>
      </c>
      <c r="B39" s="28">
        <v>5</v>
      </c>
      <c r="C39" s="14">
        <v>4012</v>
      </c>
      <c r="D39" s="19">
        <v>7036</v>
      </c>
      <c r="E39" s="14">
        <v>58.5</v>
      </c>
      <c r="F39" s="14">
        <v>55</v>
      </c>
      <c r="H39" s="51">
        <v>2</v>
      </c>
      <c r="I39" s="39" t="str">
        <f t="shared" si="21"/>
        <v>NO</v>
      </c>
      <c r="J39" s="49">
        <f t="shared" si="22"/>
        <v>668.66666666666663</v>
      </c>
      <c r="K39" s="44">
        <f t="shared" si="23"/>
        <v>4680.666666666667</v>
      </c>
      <c r="L39" s="45">
        <f t="shared" si="24"/>
        <v>3343.3333333333335</v>
      </c>
      <c r="M39" s="43" t="str">
        <f t="shared" si="25"/>
        <v>NO</v>
      </c>
      <c r="N39" s="44">
        <f t="shared" si="26"/>
        <v>40.119999999999997</v>
      </c>
      <c r="O39" s="44">
        <f t="shared" si="27"/>
        <v>4052.12</v>
      </c>
      <c r="P39" s="45">
        <f t="shared" si="28"/>
        <v>3971.88</v>
      </c>
      <c r="Q39" s="39" t="str">
        <f t="shared" si="29"/>
        <v>NO</v>
      </c>
      <c r="R39" s="50">
        <f t="shared" si="30"/>
        <v>-3024</v>
      </c>
      <c r="S39" s="47" t="str">
        <f t="shared" si="9"/>
        <v>Mas grave el tinnitus</v>
      </c>
      <c r="T39" s="50">
        <f t="shared" si="31"/>
        <v>2355.3333333333335</v>
      </c>
      <c r="U39" s="47" t="str">
        <f t="shared" si="11"/>
        <v>Error humano predomina</v>
      </c>
      <c r="V39" s="50">
        <f t="shared" si="32"/>
        <v>3.5</v>
      </c>
      <c r="W39" s="47" t="str">
        <f t="shared" si="13"/>
        <v>Se percibe por debajo</v>
      </c>
      <c r="X39" s="50">
        <f t="shared" si="33"/>
        <v>1.5</v>
      </c>
      <c r="Y39" s="47" t="str">
        <f t="shared" si="15"/>
        <v>Error humano predomina</v>
      </c>
      <c r="Z39" s="50" t="str">
        <f t="shared" si="34"/>
        <v>No se adapta, error humano</v>
      </c>
      <c r="AA39" s="39" t="str">
        <f t="shared" si="35"/>
        <v>No se adapta, error humano</v>
      </c>
      <c r="AB39" s="50" t="str">
        <f t="shared" si="18"/>
        <v>No acepto</v>
      </c>
      <c r="AC39" s="39" t="str">
        <f t="shared" si="19"/>
        <v>Acepto</v>
      </c>
    </row>
    <row r="40" spans="1:30">
      <c r="A40" s="57" t="s">
        <v>56</v>
      </c>
      <c r="B40" s="28"/>
      <c r="C40" s="14">
        <v>4012</v>
      </c>
      <c r="D40" s="19">
        <v>5943</v>
      </c>
      <c r="E40" s="14">
        <v>58.5</v>
      </c>
      <c r="F40" s="14">
        <v>58</v>
      </c>
      <c r="H40" s="51">
        <v>2</v>
      </c>
      <c r="I40" s="39" t="str">
        <f t="shared" si="21"/>
        <v>SI</v>
      </c>
      <c r="J40" s="49">
        <f t="shared" si="22"/>
        <v>668.66666666666663</v>
      </c>
      <c r="K40" s="44">
        <f t="shared" si="23"/>
        <v>4680.666666666667</v>
      </c>
      <c r="L40" s="45">
        <f t="shared" si="24"/>
        <v>3343.3333333333335</v>
      </c>
      <c r="M40" s="43" t="str">
        <f t="shared" si="25"/>
        <v>NO</v>
      </c>
      <c r="N40" s="44">
        <f t="shared" si="26"/>
        <v>40.119999999999997</v>
      </c>
      <c r="O40" s="44">
        <f t="shared" si="27"/>
        <v>4052.12</v>
      </c>
      <c r="P40" s="45">
        <f t="shared" si="28"/>
        <v>3971.88</v>
      </c>
      <c r="Q40" s="39" t="str">
        <f t="shared" si="29"/>
        <v>NO</v>
      </c>
      <c r="R40" s="50">
        <f t="shared" si="30"/>
        <v>-1931</v>
      </c>
      <c r="S40" s="47" t="str">
        <f t="shared" si="9"/>
        <v>Mas grave el tinnitus</v>
      </c>
      <c r="T40" s="50">
        <f t="shared" si="31"/>
        <v>1262.3333333333335</v>
      </c>
      <c r="U40" s="47" t="str">
        <f t="shared" si="11"/>
        <v>Error humano predomina</v>
      </c>
      <c r="V40" s="50">
        <f t="shared" si="32"/>
        <v>0.5</v>
      </c>
      <c r="W40" s="47" t="str">
        <f t="shared" si="13"/>
        <v>Se percibe por debajo</v>
      </c>
      <c r="X40" s="50">
        <f t="shared" si="33"/>
        <v>-1.5</v>
      </c>
      <c r="Y40" s="47" t="str">
        <f t="shared" si="15"/>
        <v>Error sonoro</v>
      </c>
      <c r="Z40" s="50" t="str">
        <f t="shared" si="34"/>
        <v>No se adapta, error humano</v>
      </c>
      <c r="AA40" s="39" t="str">
        <f t="shared" si="35"/>
        <v>Dentro de los errores</v>
      </c>
      <c r="AB40" s="50" t="str">
        <f t="shared" si="18"/>
        <v>No acepto</v>
      </c>
      <c r="AC40" s="39" t="str">
        <f t="shared" si="19"/>
        <v>Acepto</v>
      </c>
    </row>
    <row r="41" spans="1:30">
      <c r="A41" s="57" t="s">
        <v>57</v>
      </c>
      <c r="B41" s="28"/>
      <c r="C41" s="14">
        <v>4012</v>
      </c>
      <c r="D41" s="19">
        <v>6514</v>
      </c>
      <c r="E41" s="14">
        <v>58.5</v>
      </c>
      <c r="F41" s="14">
        <v>57</v>
      </c>
      <c r="H41" s="51">
        <v>2</v>
      </c>
      <c r="I41" s="39" t="str">
        <f t="shared" si="21"/>
        <v>SI</v>
      </c>
      <c r="J41" s="49">
        <f t="shared" si="22"/>
        <v>668.66666666666663</v>
      </c>
      <c r="K41" s="44">
        <f t="shared" si="23"/>
        <v>4680.666666666667</v>
      </c>
      <c r="L41" s="45">
        <f t="shared" si="24"/>
        <v>3343.3333333333335</v>
      </c>
      <c r="M41" s="43" t="str">
        <f t="shared" si="25"/>
        <v>NO</v>
      </c>
      <c r="N41" s="44">
        <f t="shared" si="26"/>
        <v>40.119999999999997</v>
      </c>
      <c r="O41" s="44">
        <f t="shared" si="27"/>
        <v>4052.12</v>
      </c>
      <c r="P41" s="45">
        <f t="shared" si="28"/>
        <v>3971.88</v>
      </c>
      <c r="Q41" s="39" t="str">
        <f t="shared" si="29"/>
        <v>NO</v>
      </c>
      <c r="R41" s="50">
        <f t="shared" si="30"/>
        <v>-2502</v>
      </c>
      <c r="S41" s="47" t="str">
        <f t="shared" si="9"/>
        <v>Mas grave el tinnitus</v>
      </c>
      <c r="T41" s="50">
        <f t="shared" si="31"/>
        <v>1833.3333333333335</v>
      </c>
      <c r="U41" s="47" t="str">
        <f t="shared" si="11"/>
        <v>Error humano predomina</v>
      </c>
      <c r="V41" s="50">
        <f t="shared" si="32"/>
        <v>1.5</v>
      </c>
      <c r="W41" s="47" t="str">
        <f t="shared" si="13"/>
        <v>Se percibe por debajo</v>
      </c>
      <c r="X41" s="50">
        <f t="shared" si="33"/>
        <v>-0.5</v>
      </c>
      <c r="Y41" s="47" t="str">
        <f t="shared" si="15"/>
        <v>Error sonoro</v>
      </c>
      <c r="Z41" s="50" t="str">
        <f t="shared" si="34"/>
        <v>No se adapta, error humano</v>
      </c>
      <c r="AA41" s="39" t="str">
        <f t="shared" si="35"/>
        <v>Dentro de los errores</v>
      </c>
      <c r="AB41" s="50" t="str">
        <f t="shared" si="18"/>
        <v>No acepto</v>
      </c>
      <c r="AC41" s="39" t="str">
        <f t="shared" si="19"/>
        <v>Acepto</v>
      </c>
    </row>
    <row r="42" spans="1:30">
      <c r="B42" s="30" t="s">
        <v>53</v>
      </c>
      <c r="C42" s="29">
        <f>AVERAGE(C39:C41)</f>
        <v>4012</v>
      </c>
      <c r="D42" s="29">
        <f>AVERAGE(D39:D41)</f>
        <v>6497.666666666667</v>
      </c>
      <c r="E42" s="29">
        <f>AVERAGE(E39:E41)</f>
        <v>58.5</v>
      </c>
      <c r="F42" s="29">
        <f>AVERAGE(F39:F41)</f>
        <v>56.666666666666664</v>
      </c>
      <c r="H42" s="31">
        <v>2</v>
      </c>
      <c r="I42" s="32" t="str">
        <f t="shared" si="21"/>
        <v>SI</v>
      </c>
      <c r="J42" s="33">
        <f t="shared" si="22"/>
        <v>668.66666666666663</v>
      </c>
      <c r="K42" s="34">
        <f t="shared" si="23"/>
        <v>4680.666666666667</v>
      </c>
      <c r="L42" s="35">
        <f t="shared" si="24"/>
        <v>3343.3333333333335</v>
      </c>
      <c r="M42" s="36" t="str">
        <f t="shared" si="25"/>
        <v>NO</v>
      </c>
      <c r="N42" s="34">
        <f t="shared" si="26"/>
        <v>40.119999999999997</v>
      </c>
      <c r="O42" s="34">
        <f t="shared" si="27"/>
        <v>4052.12</v>
      </c>
      <c r="P42" s="35">
        <f t="shared" si="28"/>
        <v>3971.88</v>
      </c>
      <c r="Q42" s="32" t="str">
        <f t="shared" si="29"/>
        <v>NO</v>
      </c>
      <c r="R42" s="55">
        <f t="shared" si="30"/>
        <v>-2485.666666666667</v>
      </c>
      <c r="S42" s="56" t="str">
        <f t="shared" si="9"/>
        <v>Mas grave el tinnitus</v>
      </c>
      <c r="T42" s="37">
        <f t="shared" si="31"/>
        <v>1817.0000000000005</v>
      </c>
      <c r="U42" s="32" t="str">
        <f t="shared" si="11"/>
        <v>Error humano predomina</v>
      </c>
      <c r="V42" s="37">
        <f t="shared" si="32"/>
        <v>1.8333333333333357</v>
      </c>
      <c r="W42" s="32" t="str">
        <f t="shared" si="13"/>
        <v>Se percibe por debajo</v>
      </c>
      <c r="X42" s="37">
        <f t="shared" si="33"/>
        <v>-0.1666666666666643</v>
      </c>
      <c r="Y42" s="32" t="str">
        <f t="shared" si="15"/>
        <v>Error sonoro</v>
      </c>
      <c r="Z42" s="55" t="str">
        <f t="shared" si="34"/>
        <v>No se adapta, error humano</v>
      </c>
      <c r="AA42" s="53" t="str">
        <f t="shared" si="35"/>
        <v>Dentro de los errores</v>
      </c>
      <c r="AB42" s="55" t="str">
        <f t="shared" si="18"/>
        <v>No acepto</v>
      </c>
      <c r="AC42" s="56" t="str">
        <f t="shared" si="19"/>
        <v>Acepto</v>
      </c>
    </row>
    <row r="43" spans="1:30">
      <c r="A43" s="57"/>
      <c r="B43" s="57"/>
      <c r="C43" s="57"/>
      <c r="D43" s="57"/>
      <c r="E43" s="57"/>
      <c r="F43" s="57"/>
      <c r="G43" s="57"/>
      <c r="H43" s="57"/>
      <c r="I43" s="57"/>
      <c r="J43" s="57"/>
      <c r="K43" s="57"/>
      <c r="L43" s="57"/>
      <c r="M43" s="57"/>
      <c r="N43" s="57"/>
      <c r="O43" s="57"/>
      <c r="P43" s="57"/>
      <c r="Q43" s="57"/>
      <c r="R43" s="57"/>
      <c r="S43" s="57"/>
      <c r="T43" s="57"/>
      <c r="U43" s="57"/>
      <c r="V43" s="57"/>
      <c r="W43" s="57"/>
      <c r="X43" s="57"/>
      <c r="Y43" s="57"/>
      <c r="Z43" s="57"/>
      <c r="AA43" s="57"/>
      <c r="AB43" s="57"/>
      <c r="AC43" s="57"/>
      <c r="AD43" s="57"/>
    </row>
    <row r="44" spans="1:30" ht="18">
      <c r="A44" s="57"/>
      <c r="B44" s="95" t="s">
        <v>83</v>
      </c>
      <c r="C44" s="57"/>
      <c r="D44" s="57"/>
      <c r="E44" s="57"/>
      <c r="F44" s="57"/>
      <c r="G44" s="57"/>
      <c r="H44" s="57"/>
      <c r="I44" s="57"/>
      <c r="J44" s="57"/>
      <c r="K44" s="57"/>
      <c r="L44" s="57"/>
      <c r="M44" s="57"/>
      <c r="N44" s="57"/>
      <c r="O44" s="57"/>
      <c r="P44" s="57"/>
      <c r="Q44" s="57"/>
      <c r="R44" s="57"/>
      <c r="S44" s="57"/>
      <c r="T44" s="57"/>
      <c r="U44" s="57"/>
      <c r="V44" s="57"/>
      <c r="W44" s="57"/>
      <c r="X44" s="57"/>
      <c r="Y44" s="57"/>
      <c r="Z44" s="57"/>
      <c r="AA44" s="57"/>
      <c r="AB44" s="57"/>
      <c r="AC44" s="57"/>
      <c r="AD44" s="57"/>
    </row>
    <row r="45" spans="1:30">
      <c r="A45" s="57"/>
      <c r="B45" s="6" t="s">
        <v>90</v>
      </c>
      <c r="C45" s="57"/>
      <c r="D45" s="57"/>
      <c r="E45" s="57"/>
      <c r="F45" s="57"/>
      <c r="G45" s="57"/>
      <c r="H45" s="57"/>
      <c r="I45" s="57"/>
      <c r="J45" s="57"/>
      <c r="K45" s="57"/>
      <c r="L45" s="57"/>
      <c r="M45" s="57"/>
      <c r="N45" s="57"/>
      <c r="O45" s="57"/>
      <c r="P45" s="57"/>
      <c r="Q45" s="57"/>
      <c r="R45" s="57"/>
      <c r="S45" s="57"/>
      <c r="T45" s="57"/>
      <c r="U45" s="57"/>
      <c r="V45" s="57"/>
      <c r="W45" s="57"/>
      <c r="X45" s="57"/>
      <c r="Y45" s="57"/>
      <c r="Z45" s="57"/>
      <c r="AA45" s="57"/>
      <c r="AB45" s="57"/>
      <c r="AC45" s="57"/>
      <c r="AD45" s="57"/>
    </row>
    <row r="46" spans="1:30" ht="18">
      <c r="A46" s="57"/>
      <c r="B46" s="95"/>
      <c r="C46" s="57"/>
      <c r="D46" s="57"/>
      <c r="E46" s="57"/>
      <c r="F46" s="57"/>
      <c r="G46" s="57"/>
      <c r="H46" s="57"/>
      <c r="I46" s="57"/>
      <c r="J46" s="57"/>
      <c r="K46" s="57"/>
      <c r="L46" s="57"/>
      <c r="M46" s="57"/>
      <c r="N46" s="57"/>
      <c r="O46" s="57"/>
      <c r="P46" s="57"/>
      <c r="Q46" s="57"/>
      <c r="R46" s="57"/>
      <c r="S46" s="57"/>
      <c r="T46" s="57"/>
      <c r="U46" s="57"/>
      <c r="V46" s="57"/>
      <c r="W46" s="57"/>
      <c r="X46" s="57"/>
      <c r="Y46" s="57"/>
      <c r="Z46" s="57"/>
      <c r="AA46" s="57"/>
      <c r="AB46" s="57"/>
      <c r="AC46" s="57"/>
      <c r="AD46" s="57"/>
    </row>
    <row r="47" spans="1:30">
      <c r="A47" s="57"/>
      <c r="B47" s="57"/>
      <c r="C47" s="57"/>
      <c r="D47" s="57"/>
      <c r="E47" s="57"/>
      <c r="F47" s="57"/>
      <c r="G47" s="57"/>
      <c r="H47" s="57"/>
      <c r="I47" s="57"/>
      <c r="J47" s="57"/>
      <c r="K47" s="57"/>
      <c r="L47" s="57"/>
      <c r="M47" s="57"/>
      <c r="N47" s="57"/>
      <c r="O47" s="57"/>
      <c r="P47" s="57"/>
      <c r="Q47" s="57"/>
      <c r="R47" s="57"/>
      <c r="S47" s="57"/>
      <c r="T47" s="57"/>
      <c r="U47" s="57"/>
      <c r="V47" s="57"/>
      <c r="W47" s="57"/>
      <c r="X47" s="57"/>
      <c r="Y47" s="57"/>
      <c r="Z47" s="57"/>
      <c r="AA47" s="57"/>
      <c r="AB47" s="57"/>
      <c r="AC47" s="57"/>
      <c r="AD47" s="57"/>
    </row>
    <row r="48" spans="1:30">
      <c r="A48" s="57"/>
      <c r="B48" s="57"/>
      <c r="C48" s="57"/>
      <c r="D48" s="57"/>
      <c r="E48" s="57"/>
      <c r="F48" s="57"/>
      <c r="G48" s="57"/>
      <c r="H48" s="57"/>
      <c r="I48" s="57"/>
      <c r="J48" s="57"/>
      <c r="K48" s="57"/>
      <c r="L48" s="57"/>
      <c r="M48" s="57"/>
      <c r="N48" s="57"/>
      <c r="O48" s="57"/>
      <c r="P48" s="57"/>
      <c r="Q48" s="57"/>
      <c r="R48" s="57"/>
      <c r="S48" s="57"/>
      <c r="T48" s="57"/>
      <c r="U48" s="57"/>
      <c r="V48" s="57"/>
      <c r="W48" s="57"/>
      <c r="X48" s="57"/>
      <c r="Y48" s="57"/>
      <c r="Z48" s="57"/>
      <c r="AA48" s="57"/>
      <c r="AB48" s="57"/>
      <c r="AC48" s="57"/>
      <c r="AD48" s="57"/>
    </row>
    <row r="49" spans="1:30">
      <c r="A49" s="57"/>
      <c r="B49" s="57"/>
      <c r="C49" s="57"/>
      <c r="D49" s="57"/>
      <c r="E49" s="57"/>
      <c r="F49" s="57"/>
      <c r="G49" s="57"/>
      <c r="H49" s="57"/>
      <c r="I49" s="57"/>
      <c r="J49" s="57"/>
      <c r="K49" s="57"/>
      <c r="L49" s="57"/>
      <c r="M49" s="57"/>
      <c r="N49" s="57"/>
      <c r="O49" s="57"/>
      <c r="P49" s="57"/>
      <c r="Q49" s="57"/>
      <c r="R49" s="57"/>
      <c r="S49" s="57"/>
      <c r="T49" s="57"/>
      <c r="U49" s="57"/>
      <c r="V49" s="57"/>
      <c r="W49" s="57"/>
      <c r="X49" s="57"/>
      <c r="Y49" s="57"/>
      <c r="Z49" s="57"/>
      <c r="AA49" s="57"/>
      <c r="AB49" s="57"/>
      <c r="AC49" s="57"/>
      <c r="AD49" s="57"/>
    </row>
    <row r="50" spans="1:30" ht="15.6">
      <c r="A50" s="57"/>
      <c r="B50" s="94" t="s">
        <v>74</v>
      </c>
      <c r="C50" s="57"/>
      <c r="D50" s="57"/>
      <c r="E50" s="57"/>
      <c r="F50" s="57"/>
      <c r="G50" s="57"/>
      <c r="H50" s="57"/>
      <c r="I50" s="57"/>
      <c r="J50" s="57"/>
      <c r="K50" s="57"/>
      <c r="L50" s="57"/>
      <c r="M50" s="57"/>
      <c r="N50" s="57"/>
      <c r="O50" s="57"/>
      <c r="P50" s="57"/>
      <c r="Q50" s="57"/>
      <c r="R50" s="57"/>
      <c r="S50" s="57"/>
      <c r="T50" s="57"/>
      <c r="U50" s="57"/>
      <c r="V50" s="57"/>
      <c r="W50" s="57"/>
      <c r="X50" s="57"/>
      <c r="Y50" s="57"/>
      <c r="Z50" s="57"/>
      <c r="AA50" s="57"/>
      <c r="AB50" s="57"/>
      <c r="AC50" s="57"/>
      <c r="AD50" s="57"/>
    </row>
    <row r="51" spans="1:30">
      <c r="A51" s="57"/>
      <c r="B51" s="57"/>
      <c r="C51" s="57"/>
      <c r="D51" s="57"/>
      <c r="E51" s="57"/>
      <c r="F51" s="57"/>
      <c r="G51" s="57"/>
      <c r="H51" s="57"/>
      <c r="I51" s="57"/>
      <c r="J51" s="57"/>
      <c r="K51" s="57"/>
      <c r="L51" s="57"/>
      <c r="M51" s="57"/>
      <c r="N51" s="57"/>
      <c r="O51" s="57"/>
      <c r="P51" s="57"/>
      <c r="Q51" s="57"/>
      <c r="R51" s="57"/>
      <c r="S51" s="57"/>
      <c r="T51" s="57"/>
      <c r="U51" s="57"/>
      <c r="V51" s="57"/>
      <c r="W51" s="57"/>
      <c r="X51" s="57"/>
      <c r="Y51" s="57"/>
      <c r="Z51" s="57"/>
      <c r="AA51" s="57"/>
      <c r="AB51" s="57"/>
      <c r="AC51" s="57"/>
      <c r="AD51" s="57"/>
    </row>
    <row r="52" spans="1:30">
      <c r="A52" s="57"/>
      <c r="B52" s="57"/>
      <c r="C52" s="57"/>
      <c r="D52" s="57"/>
      <c r="E52" s="57"/>
      <c r="F52" s="57"/>
      <c r="G52" s="57"/>
      <c r="H52" s="57"/>
      <c r="I52" s="57"/>
      <c r="J52" s="57"/>
      <c r="K52" s="57"/>
      <c r="L52" s="57"/>
      <c r="M52" s="57"/>
      <c r="N52" s="57"/>
      <c r="O52" s="57"/>
      <c r="P52" s="57"/>
      <c r="Q52" s="57"/>
      <c r="R52" s="57"/>
      <c r="S52" s="57"/>
      <c r="T52" s="57"/>
      <c r="U52" s="57"/>
      <c r="V52" s="57"/>
      <c r="W52" s="57"/>
      <c r="X52" s="57"/>
      <c r="Y52" s="57"/>
      <c r="Z52" s="57"/>
      <c r="AA52" s="57"/>
      <c r="AB52" s="57"/>
      <c r="AC52" s="57"/>
      <c r="AD52" s="57"/>
    </row>
    <row r="53" spans="1:30">
      <c r="A53" s="57"/>
      <c r="B53" s="57"/>
      <c r="C53" s="57"/>
      <c r="D53" s="57"/>
      <c r="E53" s="57"/>
      <c r="F53" s="57"/>
      <c r="G53" s="57"/>
      <c r="H53" s="57"/>
      <c r="I53" s="57"/>
      <c r="J53" s="57"/>
      <c r="K53" s="57"/>
      <c r="L53" s="57"/>
      <c r="M53" s="57"/>
      <c r="N53" s="57"/>
      <c r="O53" s="57"/>
      <c r="P53" s="57"/>
      <c r="Q53" s="57"/>
      <c r="R53" s="57"/>
      <c r="S53" s="57"/>
      <c r="T53" s="57"/>
      <c r="U53" s="57"/>
      <c r="V53" s="57"/>
      <c r="W53" s="57"/>
      <c r="X53" s="57"/>
      <c r="Y53" s="57"/>
      <c r="Z53" s="57"/>
      <c r="AA53" s="57"/>
      <c r="AB53" s="57"/>
      <c r="AC53" s="57"/>
      <c r="AD53" s="57"/>
    </row>
    <row r="54" spans="1:30">
      <c r="A54" s="57"/>
      <c r="B54" s="57"/>
      <c r="C54" s="57"/>
      <c r="D54" s="57"/>
      <c r="E54" s="57"/>
      <c r="F54" s="57"/>
      <c r="G54" s="57"/>
      <c r="H54" s="57"/>
      <c r="I54" s="57"/>
      <c r="J54" s="57"/>
      <c r="K54" s="57"/>
      <c r="L54" s="57"/>
      <c r="M54" s="57"/>
      <c r="N54" s="57"/>
      <c r="O54" s="57"/>
      <c r="P54" s="57"/>
      <c r="Q54" s="57"/>
      <c r="R54" s="57"/>
      <c r="S54" s="57"/>
      <c r="T54" s="57"/>
      <c r="U54" s="57"/>
      <c r="V54" s="57"/>
      <c r="W54" s="57"/>
      <c r="X54" s="57"/>
      <c r="Y54" s="57"/>
      <c r="Z54" s="57"/>
      <c r="AA54" s="57"/>
      <c r="AB54" s="57"/>
      <c r="AC54" s="57"/>
      <c r="AD54" s="57"/>
    </row>
    <row r="55" spans="1:30">
      <c r="A55" s="57"/>
      <c r="B55" s="57"/>
      <c r="C55" s="57"/>
      <c r="D55" s="57"/>
      <c r="E55" s="57"/>
      <c r="F55" s="57"/>
      <c r="G55" s="57"/>
      <c r="H55" s="57"/>
      <c r="I55" s="57"/>
      <c r="J55" s="57"/>
      <c r="K55" s="57"/>
      <c r="L55" s="57"/>
      <c r="M55" s="57"/>
      <c r="N55" s="57"/>
      <c r="O55" s="57"/>
      <c r="P55" s="57"/>
      <c r="Q55" s="57"/>
      <c r="R55" s="57"/>
      <c r="S55" s="57"/>
      <c r="T55" s="57"/>
      <c r="U55" s="57"/>
      <c r="V55" s="57"/>
      <c r="W55" s="57"/>
      <c r="X55" s="57"/>
      <c r="Y55" s="57"/>
      <c r="Z55" s="57"/>
      <c r="AA55" s="57"/>
      <c r="AB55" s="57"/>
      <c r="AC55" s="57"/>
      <c r="AD55" s="57"/>
    </row>
    <row r="56" spans="1:30">
      <c r="A56" s="57"/>
      <c r="B56" s="57"/>
      <c r="C56" s="57"/>
      <c r="D56" s="57"/>
      <c r="E56" s="57"/>
      <c r="F56" s="57"/>
      <c r="G56" s="57"/>
      <c r="H56" s="57"/>
      <c r="I56" s="57"/>
      <c r="J56" s="57"/>
      <c r="K56" s="57"/>
      <c r="L56" s="57"/>
      <c r="M56" s="57"/>
      <c r="N56" s="57"/>
      <c r="O56" s="57"/>
      <c r="P56" s="57"/>
      <c r="Q56" s="57"/>
      <c r="R56" s="57"/>
      <c r="S56" s="57"/>
      <c r="T56" s="57"/>
      <c r="U56" s="57"/>
      <c r="V56" s="57"/>
      <c r="W56" s="57"/>
      <c r="X56" s="57"/>
      <c r="Y56" s="57"/>
      <c r="Z56" s="57"/>
      <c r="AA56" s="57"/>
      <c r="AB56" s="57"/>
      <c r="AC56" s="57"/>
      <c r="AD56" s="57"/>
    </row>
    <row r="57" spans="1:30">
      <c r="A57" s="57"/>
      <c r="B57" s="57"/>
      <c r="C57" s="57"/>
      <c r="D57" s="57"/>
      <c r="E57" s="57"/>
      <c r="F57" s="57"/>
      <c r="G57" s="57"/>
      <c r="H57" s="57"/>
      <c r="I57" s="57"/>
      <c r="J57" s="57"/>
      <c r="K57" s="57"/>
      <c r="L57" s="57"/>
      <c r="M57" s="57"/>
      <c r="N57" s="57"/>
      <c r="O57" s="57"/>
      <c r="P57" s="57"/>
      <c r="Q57" s="57"/>
      <c r="R57" s="57"/>
      <c r="S57" s="57"/>
      <c r="T57" s="57"/>
      <c r="U57" s="57"/>
      <c r="V57" s="57"/>
      <c r="W57" s="57"/>
      <c r="X57" s="57"/>
      <c r="Y57" s="57"/>
      <c r="Z57" s="57"/>
      <c r="AA57" s="57"/>
      <c r="AB57" s="57"/>
      <c r="AC57" s="57"/>
      <c r="AD57" s="57"/>
    </row>
    <row r="58" spans="1:30">
      <c r="A58" s="57"/>
      <c r="B58" s="57"/>
      <c r="C58" s="57"/>
      <c r="D58" s="57"/>
      <c r="E58" s="57"/>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row>
    <row r="59" spans="1:30">
      <c r="A59" s="57"/>
      <c r="B59" s="57"/>
      <c r="C59" s="57"/>
      <c r="D59" s="57"/>
      <c r="E59" s="57"/>
      <c r="F59" s="57"/>
      <c r="G59" s="57"/>
      <c r="H59" s="57"/>
      <c r="I59" s="57"/>
      <c r="J59" s="57"/>
      <c r="K59" s="57"/>
      <c r="L59" s="57"/>
      <c r="M59" s="57"/>
      <c r="N59" s="57"/>
      <c r="O59" s="57"/>
      <c r="P59" s="57"/>
      <c r="Q59" s="57"/>
      <c r="R59" s="57"/>
      <c r="S59" s="57"/>
      <c r="T59" s="57"/>
      <c r="U59" s="57"/>
      <c r="V59" s="57"/>
      <c r="W59" s="57"/>
      <c r="X59" s="57"/>
      <c r="Y59" s="57"/>
      <c r="Z59" s="57"/>
      <c r="AA59" s="57"/>
      <c r="AB59" s="57"/>
      <c r="AC59" s="57"/>
      <c r="AD59" s="57"/>
    </row>
    <row r="60" spans="1:30">
      <c r="A60" s="57"/>
      <c r="B60" s="57"/>
      <c r="C60" s="57"/>
      <c r="D60" s="57"/>
      <c r="E60" s="57"/>
      <c r="F60" s="57"/>
      <c r="G60" s="57"/>
      <c r="H60" s="57"/>
      <c r="I60" s="57"/>
      <c r="J60" s="57"/>
      <c r="K60" s="57"/>
      <c r="L60" s="57"/>
      <c r="M60" s="57"/>
      <c r="N60" s="57"/>
      <c r="O60" s="57"/>
      <c r="P60" s="57"/>
      <c r="Q60" s="57"/>
      <c r="R60" s="57"/>
      <c r="S60" s="57"/>
      <c r="T60" s="57"/>
      <c r="U60" s="57"/>
      <c r="V60" s="57"/>
      <c r="W60" s="57"/>
      <c r="X60" s="57"/>
      <c r="Y60" s="57"/>
      <c r="Z60" s="57"/>
      <c r="AA60" s="57"/>
      <c r="AB60" s="57"/>
      <c r="AC60" s="57"/>
      <c r="AD60" s="57"/>
    </row>
    <row r="61" spans="1:30">
      <c r="A61" s="57"/>
      <c r="B61" s="57"/>
      <c r="C61" s="57"/>
      <c r="D61" s="57"/>
      <c r="E61" s="57"/>
      <c r="F61" s="57"/>
      <c r="G61" s="57"/>
      <c r="H61" s="57"/>
      <c r="I61" s="57"/>
      <c r="J61" s="57"/>
      <c r="K61" s="57"/>
      <c r="L61" s="57"/>
      <c r="M61" s="57"/>
      <c r="N61" s="57"/>
      <c r="O61" s="57"/>
      <c r="P61" s="57"/>
      <c r="Q61" s="57"/>
      <c r="R61" s="57"/>
      <c r="S61" s="57"/>
      <c r="T61" s="57"/>
      <c r="U61" s="57"/>
      <c r="V61" s="57"/>
      <c r="W61" s="57"/>
      <c r="X61" s="57"/>
      <c r="Y61" s="57"/>
      <c r="Z61" s="57"/>
      <c r="AA61" s="57"/>
      <c r="AB61" s="57"/>
      <c r="AC61" s="57"/>
      <c r="AD61" s="57"/>
    </row>
    <row r="62" spans="1:30">
      <c r="A62" s="57"/>
      <c r="B62" s="57"/>
      <c r="C62" s="57"/>
      <c r="D62" s="57"/>
      <c r="E62" s="57"/>
      <c r="F62" s="57"/>
      <c r="G62" s="57"/>
      <c r="H62" s="57"/>
      <c r="I62" s="57"/>
      <c r="J62" s="57"/>
      <c r="K62" s="57"/>
      <c r="L62" s="57"/>
      <c r="M62" s="57"/>
      <c r="N62" s="57"/>
      <c r="O62" s="57"/>
      <c r="P62" s="57"/>
      <c r="Q62" s="57"/>
      <c r="R62" s="57"/>
      <c r="S62" s="57"/>
      <c r="T62" s="57"/>
      <c r="U62" s="57"/>
      <c r="V62" s="57"/>
      <c r="W62" s="57"/>
      <c r="X62" s="57"/>
      <c r="Y62" s="57"/>
      <c r="Z62" s="57"/>
      <c r="AA62" s="57"/>
      <c r="AB62" s="57"/>
      <c r="AC62" s="57"/>
      <c r="AD62" s="57"/>
    </row>
    <row r="63" spans="1:30">
      <c r="A63" s="57"/>
      <c r="B63" s="57"/>
      <c r="C63" s="57"/>
      <c r="D63" s="57"/>
      <c r="E63" s="57"/>
      <c r="F63" s="57"/>
      <c r="G63" s="57"/>
      <c r="H63" s="57"/>
      <c r="I63" s="57"/>
      <c r="J63" s="57"/>
      <c r="K63" s="57"/>
      <c r="L63" s="57"/>
      <c r="M63" s="57"/>
      <c r="N63" s="57"/>
      <c r="O63" s="57"/>
      <c r="P63" s="57"/>
      <c r="Q63" s="57"/>
      <c r="R63" s="57"/>
      <c r="S63" s="57"/>
      <c r="T63" s="57"/>
      <c r="U63" s="57"/>
      <c r="V63" s="57"/>
      <c r="W63" s="57"/>
      <c r="X63" s="57"/>
      <c r="Y63" s="57"/>
      <c r="Z63" s="57"/>
      <c r="AA63" s="57"/>
      <c r="AB63" s="57"/>
      <c r="AC63" s="57"/>
      <c r="AD63" s="57"/>
    </row>
    <row r="64" spans="1:30">
      <c r="A64" s="57"/>
      <c r="B64" s="57"/>
      <c r="C64" s="57"/>
      <c r="D64" s="57"/>
      <c r="E64" s="57"/>
      <c r="F64" s="57"/>
      <c r="G64" s="57"/>
      <c r="H64" s="57"/>
      <c r="I64" s="57"/>
      <c r="J64" s="57"/>
      <c r="K64" s="57"/>
      <c r="L64" s="57"/>
      <c r="M64" s="57"/>
      <c r="N64" s="57"/>
      <c r="O64" s="57"/>
      <c r="P64" s="57"/>
      <c r="Q64" s="57"/>
      <c r="R64" s="57"/>
      <c r="S64" s="57"/>
      <c r="T64" s="57"/>
      <c r="U64" s="57"/>
      <c r="V64" s="57"/>
      <c r="W64" s="57"/>
      <c r="X64" s="57"/>
      <c r="Y64" s="57"/>
      <c r="Z64" s="57"/>
      <c r="AA64" s="57"/>
      <c r="AB64" s="57"/>
      <c r="AC64" s="57"/>
      <c r="AD64" s="57"/>
    </row>
    <row r="65" spans="1:30">
      <c r="A65" s="57"/>
      <c r="B65" s="57"/>
      <c r="C65" s="57"/>
      <c r="D65" s="57"/>
      <c r="E65" s="57"/>
      <c r="F65" s="57"/>
      <c r="G65" s="57"/>
      <c r="H65" s="57"/>
      <c r="I65" s="57"/>
      <c r="J65" s="57"/>
      <c r="K65" s="57"/>
      <c r="L65" s="57"/>
      <c r="M65" s="57"/>
      <c r="N65" s="57"/>
      <c r="O65" s="57"/>
      <c r="P65" s="57"/>
      <c r="Q65" s="57"/>
      <c r="R65" s="57"/>
      <c r="S65" s="57"/>
      <c r="T65" s="57"/>
      <c r="U65" s="57"/>
      <c r="V65" s="57"/>
      <c r="W65" s="57"/>
      <c r="X65" s="57"/>
      <c r="Y65" s="57"/>
      <c r="Z65" s="57"/>
      <c r="AA65" s="57"/>
      <c r="AB65" s="57"/>
      <c r="AC65" s="57"/>
      <c r="AD65" s="57"/>
    </row>
    <row r="66" spans="1:30">
      <c r="A66" s="57"/>
      <c r="B66" s="57"/>
      <c r="C66" s="57"/>
      <c r="D66" s="57"/>
      <c r="E66" s="57"/>
      <c r="F66" s="57"/>
      <c r="G66" s="57"/>
      <c r="H66" s="57"/>
      <c r="I66" s="57"/>
      <c r="J66" s="57"/>
      <c r="K66" s="57"/>
      <c r="L66" s="57"/>
      <c r="M66" s="57"/>
      <c r="N66" s="57"/>
      <c r="O66" s="57"/>
      <c r="P66" s="57"/>
      <c r="Q66" s="57"/>
      <c r="R66" s="57"/>
      <c r="S66" s="57"/>
      <c r="T66" s="57"/>
      <c r="U66" s="57"/>
      <c r="V66" s="57"/>
      <c r="W66" s="57"/>
      <c r="X66" s="57"/>
      <c r="Y66" s="57"/>
      <c r="Z66" s="57"/>
      <c r="AA66" s="57"/>
      <c r="AB66" s="57"/>
      <c r="AC66" s="57"/>
      <c r="AD66" s="57"/>
    </row>
    <row r="67" spans="1:30">
      <c r="A67" s="57"/>
      <c r="B67" s="57"/>
      <c r="C67" s="57"/>
      <c r="D67" s="57"/>
      <c r="E67" s="57"/>
      <c r="F67" s="57"/>
      <c r="G67" s="57"/>
      <c r="H67" s="57"/>
      <c r="I67" s="57"/>
      <c r="J67" s="57"/>
      <c r="K67" s="57"/>
      <c r="L67" s="57"/>
      <c r="M67" s="57"/>
      <c r="N67" s="57"/>
      <c r="O67" s="57"/>
      <c r="P67" s="57"/>
      <c r="Q67" s="57"/>
      <c r="R67" s="57"/>
      <c r="S67" s="57"/>
      <c r="T67" s="57"/>
      <c r="U67" s="57"/>
      <c r="V67" s="57"/>
      <c r="W67" s="57"/>
      <c r="X67" s="57"/>
      <c r="Y67" s="57"/>
      <c r="Z67" s="57"/>
      <c r="AA67" s="57"/>
      <c r="AB67" s="57"/>
      <c r="AC67" s="57"/>
      <c r="AD67" s="57"/>
    </row>
    <row r="68" spans="1:30">
      <c r="A68" s="57"/>
      <c r="B68" s="57"/>
      <c r="C68" s="57"/>
      <c r="D68" s="57"/>
      <c r="E68" s="57"/>
      <c r="F68" s="57"/>
      <c r="G68" s="57"/>
      <c r="H68" s="57"/>
      <c r="I68" s="57"/>
      <c r="J68" s="57"/>
      <c r="K68" s="57"/>
      <c r="L68" s="57"/>
      <c r="M68" s="57"/>
      <c r="N68" s="57"/>
      <c r="O68" s="57"/>
      <c r="P68" s="57"/>
      <c r="Q68" s="57"/>
      <c r="R68" s="57"/>
      <c r="S68" s="57"/>
      <c r="T68" s="57"/>
      <c r="U68" s="57"/>
      <c r="V68" s="57"/>
      <c r="W68" s="57"/>
      <c r="X68" s="57"/>
      <c r="Y68" s="57"/>
      <c r="Z68" s="57"/>
      <c r="AA68" s="57"/>
      <c r="AB68" s="57"/>
      <c r="AC68" s="57"/>
      <c r="AD68" s="57"/>
    </row>
    <row r="69" spans="1:30">
      <c r="A69" s="57"/>
      <c r="B69" s="57"/>
      <c r="C69" s="57"/>
      <c r="D69" s="57"/>
      <c r="E69" s="57"/>
      <c r="F69" s="57"/>
      <c r="G69" s="57"/>
      <c r="H69" s="57"/>
      <c r="I69" s="57"/>
      <c r="J69" s="57"/>
      <c r="K69" s="57"/>
      <c r="L69" s="57"/>
      <c r="M69" s="57"/>
      <c r="N69" s="57"/>
      <c r="O69" s="57"/>
      <c r="P69" s="57"/>
      <c r="Q69" s="57"/>
      <c r="R69" s="57"/>
      <c r="S69" s="57"/>
      <c r="T69" s="57"/>
      <c r="U69" s="57"/>
      <c r="V69" s="57"/>
      <c r="W69" s="57"/>
      <c r="X69" s="57"/>
      <c r="Y69" s="57"/>
      <c r="Z69" s="57"/>
      <c r="AA69" s="57"/>
      <c r="AB69" s="57"/>
      <c r="AC69" s="57"/>
      <c r="AD69" s="57"/>
    </row>
    <row r="70" spans="1:30">
      <c r="A70" s="57"/>
      <c r="B70" s="57"/>
      <c r="C70" s="57"/>
      <c r="D70" s="57"/>
      <c r="E70" s="57"/>
      <c r="F70" s="57"/>
      <c r="G70" s="57"/>
      <c r="H70" s="57"/>
      <c r="I70" s="57"/>
      <c r="J70" s="57"/>
      <c r="K70" s="57"/>
      <c r="L70" s="57"/>
      <c r="M70" s="57"/>
      <c r="N70" s="57"/>
      <c r="O70" s="57"/>
      <c r="P70" s="57"/>
      <c r="Q70" s="57"/>
      <c r="R70" s="57"/>
      <c r="S70" s="57"/>
      <c r="T70" s="57"/>
      <c r="U70" s="57"/>
      <c r="V70" s="57"/>
      <c r="W70" s="57"/>
      <c r="X70" s="57"/>
      <c r="Y70" s="57"/>
      <c r="Z70" s="57"/>
      <c r="AA70" s="57"/>
      <c r="AB70" s="57"/>
      <c r="AC70" s="57"/>
      <c r="AD70" s="57"/>
    </row>
    <row r="71" spans="1:30">
      <c r="A71" s="57"/>
      <c r="B71" s="57"/>
      <c r="C71" s="57"/>
      <c r="D71" s="57"/>
      <c r="E71" s="57"/>
      <c r="F71" s="57"/>
      <c r="G71" s="57"/>
      <c r="H71" s="57"/>
      <c r="I71" s="57"/>
      <c r="J71" s="57"/>
      <c r="K71" s="57"/>
      <c r="L71" s="57"/>
      <c r="M71" s="57"/>
      <c r="N71" s="57"/>
      <c r="O71" s="57"/>
      <c r="P71" s="57"/>
      <c r="Q71" s="57"/>
      <c r="R71" s="57"/>
      <c r="S71" s="57"/>
      <c r="T71" s="57"/>
      <c r="U71" s="57"/>
      <c r="V71" s="57"/>
      <c r="W71" s="57"/>
      <c r="X71" s="57"/>
      <c r="Y71" s="57"/>
      <c r="Z71" s="57"/>
      <c r="AA71" s="57"/>
      <c r="AB71" s="57"/>
      <c r="AC71" s="57"/>
      <c r="AD71" s="57"/>
    </row>
    <row r="72" spans="1:30">
      <c r="A72" s="57"/>
      <c r="B72" s="57"/>
      <c r="C72" s="57"/>
      <c r="D72" s="57"/>
      <c r="E72" s="57"/>
      <c r="F72" s="57"/>
      <c r="G72" s="57"/>
      <c r="H72" s="57"/>
      <c r="I72" s="57"/>
      <c r="J72" s="57"/>
      <c r="K72" s="57"/>
      <c r="L72" s="57"/>
      <c r="M72" s="57"/>
      <c r="N72" s="57"/>
      <c r="O72" s="57"/>
      <c r="P72" s="57"/>
      <c r="Q72" s="57"/>
      <c r="R72" s="57"/>
      <c r="S72" s="57"/>
      <c r="T72" s="57"/>
      <c r="U72" s="57"/>
      <c r="V72" s="57"/>
      <c r="W72" s="57"/>
      <c r="X72" s="57"/>
      <c r="Y72" s="57"/>
      <c r="Z72" s="57"/>
      <c r="AA72" s="57"/>
      <c r="AB72" s="57"/>
      <c r="AC72" s="57"/>
      <c r="AD72" s="57"/>
    </row>
  </sheetData>
  <autoFilter ref="B18:F70">
    <filterColumn colId="0"/>
  </autoFilter>
  <mergeCells count="13">
    <mergeCell ref="C17:F17"/>
    <mergeCell ref="H17:I17"/>
    <mergeCell ref="J17:M17"/>
    <mergeCell ref="N17:Q17"/>
    <mergeCell ref="R17:AA17"/>
    <mergeCell ref="AB17:AC17"/>
    <mergeCell ref="K18:L18"/>
    <mergeCell ref="O18:P18"/>
    <mergeCell ref="AB11:AB13"/>
    <mergeCell ref="AC11:AC13"/>
    <mergeCell ref="V14:W16"/>
    <mergeCell ref="N15:Q15"/>
    <mergeCell ref="N16:Q16"/>
  </mergeCells>
  <conditionalFormatting sqref="M19:M72">
    <cfRule type="expression" dxfId="31" priority="46">
      <formula>OR(D19&gt;K19,D19&lt;L19)</formula>
    </cfRule>
    <cfRule type="expression" dxfId="30" priority="47">
      <formula>AND(D19&lt;K19,D19&gt;L19)</formula>
    </cfRule>
    <cfRule type="expression" dxfId="29" priority="48">
      <formula>AND(D19&gt;K19,D19&gt;L19)</formula>
    </cfRule>
  </conditionalFormatting>
  <conditionalFormatting sqref="I19:I72">
    <cfRule type="expression" dxfId="28" priority="45">
      <formula>"abs(E10-F10)&lt;H10"</formula>
    </cfRule>
  </conditionalFormatting>
  <conditionalFormatting sqref="I19:I72">
    <cfRule type="expression" dxfId="27" priority="43">
      <formula>"abs(E10-F10)&gt;H10"</formula>
    </cfRule>
    <cfRule type="expression" dxfId="26" priority="44">
      <formula>"abs(E10-F10)&lt;H10"</formula>
    </cfRule>
  </conditionalFormatting>
  <conditionalFormatting sqref="I19:I72">
    <cfRule type="expression" dxfId="25" priority="41">
      <formula>ABS(E19-F19)&lt;H19</formula>
    </cfRule>
    <cfRule type="expression" dxfId="24" priority="42">
      <formula>"(ABS(E10-F10)&lt;H10)"</formula>
    </cfRule>
  </conditionalFormatting>
  <conditionalFormatting sqref="I19:I72">
    <cfRule type="expression" dxfId="23" priority="40">
      <formula>"ABS(E10-F10)&gt;H10"</formula>
    </cfRule>
  </conditionalFormatting>
  <conditionalFormatting sqref="I19:I72">
    <cfRule type="expression" dxfId="22" priority="37">
      <formula>OR(#REF!&gt;G19,#REF!&lt;H19)</formula>
    </cfRule>
    <cfRule type="expression" dxfId="21" priority="38">
      <formula>AND(#REF!&lt;G19,#REF!&gt;H19)</formula>
    </cfRule>
    <cfRule type="expression" dxfId="20" priority="39">
      <formula>AND(#REF!&gt;G19,#REF!&gt;H19)</formula>
    </cfRule>
  </conditionalFormatting>
  <conditionalFormatting sqref="Q19:Q72">
    <cfRule type="expression" dxfId="19" priority="34">
      <formula>OR(H19&gt;O19,H19&lt;P19)</formula>
    </cfRule>
    <cfRule type="expression" dxfId="18" priority="35">
      <formula>AND(H19&lt;O19,H19&gt;P19)</formula>
    </cfRule>
    <cfRule type="expression" dxfId="17" priority="36">
      <formula>AND(H19&gt;O19,H19&gt;P19)</formula>
    </cfRule>
  </conditionalFormatting>
  <conditionalFormatting sqref="M19:M72">
    <cfRule type="expression" dxfId="16" priority="31">
      <formula>OR(D19&gt;K19, D19&lt;L19)</formula>
    </cfRule>
    <cfRule type="expression" dxfId="15" priority="32">
      <formula>AND(D19&lt;K19, D19&gt;L19)</formula>
    </cfRule>
    <cfRule type="expression" dxfId="14" priority="33">
      <formula>"Y(D10&lt;K10; D10&gt;L10)"</formula>
    </cfRule>
  </conditionalFormatting>
  <conditionalFormatting sqref="Q19:Q72">
    <cfRule type="expression" dxfId="13" priority="29">
      <formula>OR(D19&gt;O19, D19&lt;P19)</formula>
    </cfRule>
    <cfRule type="expression" dxfId="12" priority="30">
      <formula>AND(D19&lt;O19, D19&gt;P19)</formula>
    </cfRule>
  </conditionalFormatting>
  <conditionalFormatting sqref="I19:I72">
    <cfRule type="expression" dxfId="11" priority="28">
      <formula>ABS(E19-F19)&gt;H19</formula>
    </cfRule>
  </conditionalFormatting>
  <conditionalFormatting sqref="M19:M72">
    <cfRule type="expression" dxfId="10" priority="26">
      <formula>OR(D19&gt;K19, D19&lt;L19)</formula>
    </cfRule>
    <cfRule type="expression" dxfId="9" priority="27">
      <formula>AND(D19&lt;K19, D19&gt;L19)</formula>
    </cfRule>
  </conditionalFormatting>
  <conditionalFormatting sqref="AA19:AA72">
    <cfRule type="expression" dxfId="8" priority="25">
      <formula>X19&gt;0</formula>
    </cfRule>
  </conditionalFormatting>
  <conditionalFormatting sqref="S19:S70">
    <cfRule type="expression" dxfId="7" priority="6">
      <formula>R19&gt;0</formula>
    </cfRule>
  </conditionalFormatting>
  <conditionalFormatting sqref="I24">
    <cfRule type="expression" dxfId="6" priority="5">
      <formula>ABS(E23-F23)&gt;H23</formula>
    </cfRule>
  </conditionalFormatting>
  <conditionalFormatting sqref="AB19:AB70">
    <cfRule type="expression" dxfId="5" priority="4">
      <formula>ABS(R19)&lt;J19</formula>
    </cfRule>
  </conditionalFormatting>
  <conditionalFormatting sqref="AC19:AC70">
    <cfRule type="expression" dxfId="4" priority="3">
      <formula>ABS(V19)&lt;$AC$16</formula>
    </cfRule>
  </conditionalFormatting>
  <conditionalFormatting sqref="AC43:AC69">
    <cfRule type="expression" dxfId="3" priority="2">
      <formula>ABS(S43)&lt;K43</formula>
    </cfRule>
  </conditionalFormatting>
  <conditionalFormatting sqref="AC43:AC71">
    <cfRule type="expression" dxfId="1" priority="1">
      <formula>Z43&gt;0</formula>
    </cfRule>
  </conditionalFormatting>
  <pageMargins left="0.7" right="0.7" top="0.75" bottom="0.75" header="0.3" footer="0.3"/>
  <pageSetup paperSize="9" orientation="portrait" horizontalDpi="200" verticalDpi="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Prueba01</vt:lpstr>
      <vt:lpstr>Prueba02</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2025-05-16T09:28:08Z</dcterms:modified>
</cp:coreProperties>
</file>