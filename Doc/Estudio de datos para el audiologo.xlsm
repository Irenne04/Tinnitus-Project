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charts/chart1.xml" ContentType="application/vnd.openxmlformats-officedocument.drawingml.chart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drawings/drawing1.xml" ContentType="application/vnd.openxmlformats-officedocument.drawing+xml"/>
  <Override PartName="/xl/worksheets/sheet1.xml" ContentType="application/vnd.openxmlformats-officedocument.spreadsheetml.worksheet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5" codeName="{37E998C4-C9E5-D4B9-71C8-EB1FF731991C}"/>
  <workbookPr filterPrivacy="1" codeName="ThisWorkbook" defaultThemeVersion="124226"/>
  <bookViews>
    <workbookView xWindow="360" yWindow="300" windowWidth="14880" windowHeight="7812"/>
  </bookViews>
  <sheets>
    <sheet name="VALIDO" sheetId="4" r:id="rId1"/>
    <sheet name="Bandas criticas error" sheetId="5" r:id="rId2"/>
  </sheets>
  <functionGroups/>
  <definedNames>
    <definedName name="_xlnm._FilterDatabase" localSheetId="0" hidden="1">VALIDO!$A$18:$F$32</definedName>
  </definedNames>
  <calcPr calcId="124519"/>
</workbook>
</file>

<file path=xl/calcChain.xml><?xml version="1.0" encoding="utf-8"?>
<calcChain xmlns="http://schemas.openxmlformats.org/spreadsheetml/2006/main">
  <c r="N20" i="4"/>
  <c r="N21"/>
  <c r="N22"/>
  <c r="N23"/>
  <c r="N24"/>
  <c r="N25"/>
  <c r="N26"/>
  <c r="N27"/>
  <c r="N28"/>
  <c r="N29"/>
  <c r="N30"/>
  <c r="N31"/>
  <c r="N32"/>
  <c r="I21" l="1"/>
  <c r="J21"/>
  <c r="L21" s="1"/>
  <c r="G17" i="5"/>
  <c r="O20" i="4" l="1"/>
  <c r="K21"/>
  <c r="M21" s="1"/>
  <c r="O21"/>
  <c r="P21"/>
  <c r="R21"/>
  <c r="T21" s="1"/>
  <c r="W21"/>
  <c r="Z21" s="1"/>
  <c r="I22"/>
  <c r="J22"/>
  <c r="K22" s="1"/>
  <c r="L22" l="1"/>
  <c r="M22" s="1"/>
  <c r="Q21"/>
  <c r="U21"/>
  <c r="AB21" s="1"/>
  <c r="AD21"/>
  <c r="AE21"/>
  <c r="S21"/>
  <c r="AC21"/>
  <c r="AA21"/>
  <c r="X21"/>
  <c r="Y21"/>
  <c r="O22"/>
  <c r="P22"/>
  <c r="R22"/>
  <c r="U22" s="1"/>
  <c r="W22"/>
  <c r="Z22" s="1"/>
  <c r="I23"/>
  <c r="J23"/>
  <c r="K23" s="1"/>
  <c r="Q22" l="1"/>
  <c r="V21"/>
  <c r="V22"/>
  <c r="AB22"/>
  <c r="AD22"/>
  <c r="X22"/>
  <c r="AE22"/>
  <c r="S22"/>
  <c r="T22"/>
  <c r="L23"/>
  <c r="M23" s="1"/>
  <c r="AC22"/>
  <c r="AA22"/>
  <c r="Y22"/>
  <c r="O23"/>
  <c r="P23"/>
  <c r="R23"/>
  <c r="S23" s="1"/>
  <c r="W23"/>
  <c r="Z23" s="1"/>
  <c r="I24"/>
  <c r="J24"/>
  <c r="K24" s="1"/>
  <c r="U23" l="1"/>
  <c r="V23" s="1"/>
  <c r="T23"/>
  <c r="L24"/>
  <c r="M24" s="1"/>
  <c r="AD23"/>
  <c r="Q23"/>
  <c r="AE23"/>
  <c r="AA23"/>
  <c r="AC23"/>
  <c r="X23"/>
  <c r="Y23"/>
  <c r="O24"/>
  <c r="P24"/>
  <c r="R24"/>
  <c r="U24" s="1"/>
  <c r="W24"/>
  <c r="Z24" s="1"/>
  <c r="I25"/>
  <c r="J25"/>
  <c r="L25" s="1"/>
  <c r="AD24" l="1"/>
  <c r="AB23"/>
  <c r="AE24"/>
  <c r="Q24"/>
  <c r="V24"/>
  <c r="AB24"/>
  <c r="S24"/>
  <c r="K25"/>
  <c r="M25" s="1"/>
  <c r="T24"/>
  <c r="AC24"/>
  <c r="AA24"/>
  <c r="X24"/>
  <c r="Y24"/>
  <c r="O25"/>
  <c r="P25"/>
  <c r="R25"/>
  <c r="AD25" s="1"/>
  <c r="W25"/>
  <c r="Z25" s="1"/>
  <c r="I26"/>
  <c r="J26"/>
  <c r="K26" s="1"/>
  <c r="Q25" l="1"/>
  <c r="U25"/>
  <c r="V25" s="1"/>
  <c r="AE25"/>
  <c r="L26"/>
  <c r="M26" s="1"/>
  <c r="S25"/>
  <c r="T25"/>
  <c r="AC25"/>
  <c r="AA25"/>
  <c r="X25"/>
  <c r="Y25"/>
  <c r="O26"/>
  <c r="P26"/>
  <c r="R26"/>
  <c r="U26" s="1"/>
  <c r="W26"/>
  <c r="Y26" s="1"/>
  <c r="I27"/>
  <c r="J27"/>
  <c r="L27" s="1"/>
  <c r="AB25" l="1"/>
  <c r="AE26"/>
  <c r="Q26"/>
  <c r="K27"/>
  <c r="M27" s="1"/>
  <c r="Z26"/>
  <c r="AC26" s="1"/>
  <c r="V26"/>
  <c r="AB26"/>
  <c r="S26"/>
  <c r="T26"/>
  <c r="AD26"/>
  <c r="AA26"/>
  <c r="X26"/>
  <c r="O27"/>
  <c r="P27"/>
  <c r="R27"/>
  <c r="AD27" s="1"/>
  <c r="W27"/>
  <c r="X27" s="1"/>
  <c r="I28"/>
  <c r="J28"/>
  <c r="L28" s="1"/>
  <c r="AE27" l="1"/>
  <c r="Y27"/>
  <c r="Z27"/>
  <c r="AC27" s="1"/>
  <c r="Q27"/>
  <c r="K28"/>
  <c r="M28" s="1"/>
  <c r="S27"/>
  <c r="T27"/>
  <c r="U27"/>
  <c r="O28"/>
  <c r="P28"/>
  <c r="R28"/>
  <c r="AD28" s="1"/>
  <c r="W28"/>
  <c r="X28" s="1"/>
  <c r="I29"/>
  <c r="J29"/>
  <c r="L29" s="1"/>
  <c r="AA27" l="1"/>
  <c r="Q28"/>
  <c r="Y28"/>
  <c r="Z28"/>
  <c r="AC28" s="1"/>
  <c r="AE28"/>
  <c r="S28"/>
  <c r="T28"/>
  <c r="U28"/>
  <c r="V27"/>
  <c r="AB27"/>
  <c r="K29"/>
  <c r="M29" s="1"/>
  <c r="O29"/>
  <c r="P29"/>
  <c r="R29"/>
  <c r="AD29" s="1"/>
  <c r="W29"/>
  <c r="X29" s="1"/>
  <c r="I30"/>
  <c r="J30"/>
  <c r="L30" s="1"/>
  <c r="Z29" l="1"/>
  <c r="AC29" s="1"/>
  <c r="Y29"/>
  <c r="AE29"/>
  <c r="Q29"/>
  <c r="AA28"/>
  <c r="V28"/>
  <c r="AB28"/>
  <c r="S29"/>
  <c r="T29"/>
  <c r="K30"/>
  <c r="M30" s="1"/>
  <c r="U29"/>
  <c r="O30"/>
  <c r="P30"/>
  <c r="R30"/>
  <c r="U30" s="1"/>
  <c r="W30"/>
  <c r="X30" s="1"/>
  <c r="AE30"/>
  <c r="I31"/>
  <c r="J31"/>
  <c r="K31" s="1"/>
  <c r="Z30" l="1"/>
  <c r="AC30" s="1"/>
  <c r="Y30"/>
  <c r="Q30"/>
  <c r="AA29"/>
  <c r="AB30"/>
  <c r="V30"/>
  <c r="L31"/>
  <c r="M31" s="1"/>
  <c r="S30"/>
  <c r="V29"/>
  <c r="AB29"/>
  <c r="AD30"/>
  <c r="T30"/>
  <c r="O31"/>
  <c r="P31"/>
  <c r="R31"/>
  <c r="T31" s="1"/>
  <c r="W31"/>
  <c r="Z31" s="1"/>
  <c r="I32"/>
  <c r="J32"/>
  <c r="L32" s="1"/>
  <c r="AA30" l="1"/>
  <c r="AD31"/>
  <c r="Q31"/>
  <c r="U31"/>
  <c r="AB31" s="1"/>
  <c r="AE31"/>
  <c r="AA31"/>
  <c r="AC31"/>
  <c r="X31"/>
  <c r="Y31"/>
  <c r="K32"/>
  <c r="M32" s="1"/>
  <c r="S31"/>
  <c r="O32"/>
  <c r="P32"/>
  <c r="R32"/>
  <c r="AD32" s="1"/>
  <c r="W32"/>
  <c r="Z32" s="1"/>
  <c r="Q32" l="1"/>
  <c r="V31"/>
  <c r="S32"/>
  <c r="T32"/>
  <c r="AC32"/>
  <c r="AA32"/>
  <c r="X32"/>
  <c r="Y32"/>
  <c r="AE32"/>
  <c r="U32"/>
  <c r="A21"/>
  <c r="A22" s="1"/>
  <c r="A23" s="1"/>
  <c r="A24" s="1"/>
  <c r="A25" s="1"/>
  <c r="A26" s="1"/>
  <c r="A27" s="1"/>
  <c r="A28" s="1"/>
  <c r="A29" s="1"/>
  <c r="A30" s="1"/>
  <c r="A31" s="1"/>
  <c r="A32" s="1"/>
  <c r="A7" i="5"/>
  <c r="A8" s="1"/>
  <c r="A9" s="1"/>
  <c r="A10" s="1"/>
  <c r="A11" s="1"/>
  <c r="A12" s="1"/>
  <c r="A13" s="1"/>
  <c r="A14" s="1"/>
  <c r="A15" s="1"/>
  <c r="A16" s="1"/>
  <c r="A17" s="1"/>
  <c r="A18" s="1"/>
  <c r="A19" s="1"/>
  <c r="A20" s="1"/>
  <c r="A21" s="1"/>
  <c r="A22" s="1"/>
  <c r="A23" s="1"/>
  <c r="A24" s="1"/>
  <c r="A25" s="1"/>
  <c r="A26" s="1"/>
  <c r="A27" s="1"/>
  <c r="A28" s="1"/>
  <c r="A6"/>
  <c r="J20" i="4"/>
  <c r="K20" s="1"/>
  <c r="N17"/>
  <c r="V32" l="1"/>
  <c r="AB32"/>
  <c r="P20"/>
  <c r="I20"/>
  <c r="L20"/>
  <c r="M20" s="1"/>
  <c r="R20"/>
  <c r="S20" s="1"/>
  <c r="W20"/>
  <c r="R34"/>
  <c r="W34"/>
  <c r="Q20" l="1"/>
  <c r="Z20"/>
  <c r="X20"/>
  <c r="T20"/>
  <c r="AD20"/>
  <c r="U20"/>
  <c r="Y20"/>
  <c r="AE20"/>
  <c r="AD34"/>
  <c r="AE34"/>
  <c r="X34"/>
  <c r="AB20" l="1"/>
  <c r="V20"/>
  <c r="AA20"/>
  <c r="AC20"/>
</calcChain>
</file>

<file path=xl/sharedStrings.xml><?xml version="1.0" encoding="utf-8"?>
<sst xmlns="http://schemas.openxmlformats.org/spreadsheetml/2006/main" count="72" uniqueCount="66">
  <si>
    <t>Error sonoro</t>
  </si>
  <si>
    <t>Ancho banda</t>
  </si>
  <si>
    <t>Excell para determinar si las medidas de la prueba 3: Acufenometría simulada, son válidas</t>
  </si>
  <si>
    <t>Para ello se propone el error dado por la forma de recorrer las frecuencias y el nivel sonoro; el de los aparatos de medida; y el error humano.</t>
  </si>
  <si>
    <t>Datos recogidos de la tercera prueba</t>
  </si>
  <si>
    <t>Frecuencia real del acufeno</t>
  </si>
  <si>
    <t>Frecuencia del acufeno medido</t>
  </si>
  <si>
    <t>Nivel sonoro dBSPL real</t>
  </si>
  <si>
    <t>Nivel sonoro dBSPL medido</t>
  </si>
  <si>
    <r>
      <t xml:space="preserve">1.- ERRORES_01: Error en </t>
    </r>
    <r>
      <rPr>
        <b/>
        <sz val="11"/>
        <color theme="1"/>
        <rFont val="Calibri"/>
        <family val="2"/>
        <scheme val="minor"/>
      </rPr>
      <t>FRECUENCIAS</t>
    </r>
    <r>
      <rPr>
        <sz val="11"/>
        <color theme="1"/>
        <rFont val="Calibri"/>
        <family val="2"/>
        <scheme val="minor"/>
      </rPr>
      <t xml:space="preserve"> dado por la forma de recorrer las series (1/6-octava)</t>
    </r>
  </si>
  <si>
    <r>
      <t xml:space="preserve">2.- ERRORES_02: Errror en el </t>
    </r>
    <r>
      <rPr>
        <b/>
        <sz val="11"/>
        <color theme="1"/>
        <rFont val="Calibri"/>
        <family val="2"/>
        <scheme val="minor"/>
      </rPr>
      <t>NIVEL SONORO dBSPL</t>
    </r>
    <r>
      <rPr>
        <sz val="11"/>
        <color theme="1"/>
        <rFont val="Calibri"/>
        <family val="2"/>
        <scheme val="minor"/>
      </rPr>
      <t xml:space="preserve"> dado por errores en los aparatos (</t>
    </r>
    <r>
      <rPr>
        <sz val="11"/>
        <color theme="1"/>
        <rFont val="Calibri"/>
        <family val="2"/>
      </rPr>
      <t>±1 dBSPL) y en la forma de medir (±2 dBSPL) (aunque en realidad no deberia tener error pues se puede ajustar)</t>
    </r>
  </si>
  <si>
    <r>
      <t xml:space="preserve">3.- ERRORES_03: Error en </t>
    </r>
    <r>
      <rPr>
        <b/>
        <sz val="11"/>
        <color theme="1"/>
        <rFont val="Calibri"/>
        <family val="2"/>
        <scheme val="minor"/>
      </rPr>
      <t>FRECUENCIA</t>
    </r>
    <r>
      <rPr>
        <sz val="11"/>
        <color theme="1"/>
        <rFont val="Calibri"/>
        <family val="2"/>
        <scheme val="minor"/>
      </rPr>
      <t xml:space="preserve"> dado por el ancho de banda de los filtros, no se pueden diferenciar dos frecuencias (1/100-octava)</t>
    </r>
  </si>
  <si>
    <r>
      <t xml:space="preserve">4.- ERRORES_04: Error humano tanto en </t>
    </r>
    <r>
      <rPr>
        <b/>
        <sz val="11"/>
        <color theme="1"/>
        <rFont val="Calibri"/>
        <family val="2"/>
        <scheme val="minor"/>
      </rPr>
      <t>FRECUENCIAS</t>
    </r>
    <r>
      <rPr>
        <sz val="11"/>
        <color theme="1"/>
        <rFont val="Calibri"/>
        <family val="2"/>
        <scheme val="minor"/>
      </rPr>
      <t xml:space="preserve"> como en el </t>
    </r>
    <r>
      <rPr>
        <b/>
        <sz val="11"/>
        <color theme="1"/>
        <rFont val="Calibri"/>
        <family val="2"/>
        <scheme val="minor"/>
      </rPr>
      <t>NIVEL SONORO dBSPL</t>
    </r>
  </si>
  <si>
    <t>ERRORES_01</t>
  </si>
  <si>
    <t>ERRORES_02</t>
  </si>
  <si>
    <t>Se acepta o no el error</t>
  </si>
  <si>
    <t>ERRORES_03</t>
  </si>
  <si>
    <t>ERRORES_04</t>
  </si>
  <si>
    <t>Error tonal/6</t>
  </si>
  <si>
    <t>Error de ancho de banda</t>
  </si>
  <si>
    <t>Error humano frecuencias</t>
  </si>
  <si>
    <t>Se acepta en frecuencia</t>
  </si>
  <si>
    <t>Se acepta en nivel sonoro</t>
  </si>
  <si>
    <t>ACEPTACION TOTAL</t>
  </si>
  <si>
    <t>En frecuencia</t>
  </si>
  <si>
    <t>En nivel sonoro</t>
  </si>
  <si>
    <t>Resta de frecuencias</t>
  </si>
  <si>
    <t>Enmascaramiento tonal</t>
  </si>
  <si>
    <t>Error humano significativo o no</t>
  </si>
  <si>
    <t>Resta nivel sonoro</t>
  </si>
  <si>
    <t>Percepcion del ruido al mismo nivel (sonoridad)</t>
  </si>
  <si>
    <t>Si se percibe por debajo (30) equivale a un tinnitus medido de (25), al mismo nivel (30) y (30), se percibira por encima</t>
  </si>
  <si>
    <t>Se van a aceptar los errores sonoros por debajo de un cierto valor</t>
  </si>
  <si>
    <t>Valor de aceptacion sonoro</t>
  </si>
  <si>
    <t>Pero este valor dependera de la frecuencia, luego dependera si es HF o LF</t>
  </si>
  <si>
    <t>% aceptacion frecuencia</t>
  </si>
  <si>
    <t>% aceptacion sonoro</t>
  </si>
  <si>
    <t>Maximo de error del nivel sonoro</t>
  </si>
  <si>
    <r>
      <t xml:space="preserve">Error en dB % relativo </t>
    </r>
    <r>
      <rPr>
        <b/>
        <sz val="11"/>
        <color theme="1"/>
        <rFont val="Calibri"/>
        <family val="2"/>
        <scheme val="minor"/>
      </rPr>
      <t>HUMANO</t>
    </r>
  </si>
  <si>
    <t>%</t>
  </si>
  <si>
    <r>
      <t xml:space="preserve">Error en frecuencia % relativo </t>
    </r>
    <r>
      <rPr>
        <b/>
        <sz val="11"/>
        <color theme="1"/>
        <rFont val="Calibri"/>
        <family val="2"/>
        <scheme val="minor"/>
      </rPr>
      <t>HUMANO</t>
    </r>
  </si>
  <si>
    <t>Error humano en frecuencias en tanto % en funcion del error 1/6-octava</t>
  </si>
  <si>
    <t>Si es negativo el error en dB humano en %, entonces significa que no hay error humano</t>
  </si>
  <si>
    <t>Error tonal bandas criticas</t>
  </si>
  <si>
    <t xml:space="preserve"> Aparece un mensaje en Excell, encima de la línea de fórmulas: Advertencia de seguridad: los macros se han desabilitado. </t>
  </si>
  <si>
    <r>
      <t xml:space="preserve">Se debe dar a </t>
    </r>
    <r>
      <rPr>
        <b/>
        <sz val="16"/>
        <color theme="9" tint="-0.249977111117893"/>
        <rFont val="Calibri"/>
        <family val="2"/>
        <scheme val="minor"/>
      </rPr>
      <t>OPCIONES,</t>
    </r>
    <r>
      <rPr>
        <sz val="16"/>
        <color theme="1"/>
        <rFont val="Calibri"/>
        <family val="2"/>
        <scheme val="minor"/>
      </rPr>
      <t xml:space="preserve"> y</t>
    </r>
    <r>
      <rPr>
        <b/>
        <sz val="16"/>
        <color theme="9" tint="-0.249977111117893"/>
        <rFont val="Calibri"/>
        <family val="2"/>
        <scheme val="minor"/>
      </rPr>
      <t xml:space="preserve"> HABILITAR ESTE CONTENIDO</t>
    </r>
    <r>
      <rPr>
        <sz val="16"/>
        <color theme="1"/>
        <rFont val="Calibri"/>
        <family val="2"/>
        <scheme val="minor"/>
      </rPr>
      <t xml:space="preserve"> y </t>
    </r>
    <r>
      <rPr>
        <b/>
        <sz val="16"/>
        <color theme="9" tint="-0.249977111117893"/>
        <rFont val="Calibri"/>
        <family val="2"/>
        <scheme val="minor"/>
      </rPr>
      <t>ACEPTAR</t>
    </r>
  </si>
  <si>
    <t>IMPORTANTE</t>
  </si>
  <si>
    <t>IMPORTAR DATOS DE TXT</t>
  </si>
  <si>
    <r>
      <t xml:space="preserve">Se pulsa en </t>
    </r>
    <r>
      <rPr>
        <b/>
        <sz val="18"/>
        <color rgb="FF0070C0"/>
        <rFont val="Calibri"/>
        <family val="2"/>
        <scheme val="minor"/>
      </rPr>
      <t>ALT + F8</t>
    </r>
    <r>
      <rPr>
        <sz val="18"/>
        <color theme="1"/>
        <rFont val="Calibri"/>
        <family val="2"/>
        <scheme val="minor"/>
      </rPr>
      <t xml:space="preserve"> y luego a </t>
    </r>
    <r>
      <rPr>
        <b/>
        <sz val="18"/>
        <color rgb="FF0070C0"/>
        <rFont val="Calibri"/>
        <family val="2"/>
        <scheme val="minor"/>
      </rPr>
      <t>EJECUTAR</t>
    </r>
  </si>
  <si>
    <t>Nombre del archivo importado</t>
  </si>
  <si>
    <t>Error sistematico y metododico en dB</t>
  </si>
  <si>
    <r>
      <t xml:space="preserve">Solo aceptamos los valores que no tiene error humano en frecuencias. </t>
    </r>
    <r>
      <rPr>
        <b/>
        <sz val="8"/>
        <color rgb="FFFF0000"/>
        <rFont val="Calibri"/>
        <family val="2"/>
        <scheme val="minor"/>
      </rPr>
      <t>Esto solo es válido para personas que no presentan tinnitus, pues el tinnitus no debe ser con tonos puros solo</t>
    </r>
  </si>
  <si>
    <t>Error en bandas criticas según la frecuencia</t>
  </si>
  <si>
    <r>
      <t xml:space="preserve">Datos sacados de </t>
    </r>
    <r>
      <rPr>
        <b/>
        <sz val="11"/>
        <color theme="1"/>
        <rFont val="Calibri"/>
        <family val="2"/>
        <scheme val="minor"/>
      </rPr>
      <t xml:space="preserve">Psychoacoustics: Facts and Models, Libro de Eberhard Zwicker
</t>
    </r>
    <r>
      <rPr>
        <sz val="11"/>
        <color theme="1"/>
        <rFont val="Calibri"/>
        <family val="2"/>
        <scheme val="minor"/>
      </rPr>
      <t xml:space="preserve">
</t>
    </r>
  </si>
  <si>
    <t>Numero</t>
  </si>
  <si>
    <t>Frecuencia central (Hz)</t>
  </si>
  <si>
    <t>Banda critica (Hz)</t>
  </si>
  <si>
    <t>Frecuencia de corte superior (Hz)</t>
  </si>
  <si>
    <t>Frecuencia corte inferior (Hz)</t>
  </si>
  <si>
    <t>Calculadora de bandas críticas para una frecuencia dada</t>
  </si>
  <si>
    <t>Frecuencia que se quiere calcular</t>
  </si>
  <si>
    <t>Porcentaje relativo del error humano sonoro</t>
  </si>
  <si>
    <t>Porcentaje relativo del error humano tonal</t>
  </si>
  <si>
    <t xml:space="preserve">Y se introduce el directorio donde estan los archivos de la TinniT_US_Version_3/Resultados/prueba 3: Acufenometria simulada </t>
  </si>
  <si>
    <r>
      <t xml:space="preserve">Se debe ejecutar en la pantalla de comandos de Excell el programa: </t>
    </r>
    <r>
      <rPr>
        <b/>
        <sz val="14"/>
        <color theme="1"/>
        <rFont val="Calibri"/>
        <family val="2"/>
        <scheme val="minor"/>
      </rPr>
      <t xml:space="preserve">datos_mat </t>
    </r>
    <r>
      <rPr>
        <sz val="14"/>
        <color theme="1"/>
        <rFont val="Calibri"/>
        <family val="2"/>
        <scheme val="minor"/>
      </rPr>
      <t xml:space="preserve"> y presionar a </t>
    </r>
    <r>
      <rPr>
        <b/>
        <sz val="14"/>
        <color theme="1"/>
        <rFont val="Calibri"/>
        <family val="2"/>
        <scheme val="minor"/>
      </rPr>
      <t>enter</t>
    </r>
  </si>
  <si>
    <r>
      <t xml:space="preserve">que se quieren estudiar, y finalmente se clica en el nuevo archivo: </t>
    </r>
    <r>
      <rPr>
        <b/>
        <sz val="14"/>
        <color theme="1"/>
        <rFont val="Calibri"/>
        <family val="2"/>
        <scheme val="minor"/>
      </rPr>
      <t>datos_acufenometria_excel</t>
    </r>
  </si>
</sst>
</file>

<file path=xl/styles.xml><?xml version="1.0" encoding="utf-8"?>
<styleSheet xmlns="http://schemas.openxmlformats.org/spreadsheetml/2006/main">
  <fonts count="24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7030A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name val="Calibri"/>
      <family val="2"/>
      <scheme val="minor"/>
    </font>
    <font>
      <sz val="11"/>
      <color rgb="FF92D050"/>
      <name val="Calibri"/>
      <family val="2"/>
      <scheme val="minor"/>
    </font>
    <font>
      <sz val="11"/>
      <color theme="1"/>
      <name val="Calibri"/>
      <family val="2"/>
    </font>
    <font>
      <b/>
      <sz val="11"/>
      <name val="Calibri"/>
      <family val="2"/>
      <scheme val="minor"/>
    </font>
    <font>
      <sz val="9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4"/>
      <color theme="1"/>
      <name val="Calibri"/>
      <family val="2"/>
      <scheme val="minor"/>
    </font>
    <font>
      <sz val="16"/>
      <color theme="1"/>
      <name val="Calibri"/>
      <family val="2"/>
      <scheme val="minor"/>
    </font>
    <font>
      <b/>
      <sz val="16"/>
      <color theme="9" tint="-0.249977111117893"/>
      <name val="Calibri"/>
      <family val="2"/>
      <scheme val="minor"/>
    </font>
    <font>
      <sz val="18"/>
      <color theme="1"/>
      <name val="Calibri"/>
      <family val="2"/>
      <scheme val="minor"/>
    </font>
    <font>
      <b/>
      <sz val="18"/>
      <color theme="9" tint="-0.499984740745262"/>
      <name val="Calibri"/>
      <family val="2"/>
      <scheme val="minor"/>
    </font>
    <font>
      <b/>
      <sz val="18"/>
      <color rgb="FF0070C0"/>
      <name val="Calibri"/>
      <family val="2"/>
      <scheme val="minor"/>
    </font>
    <font>
      <b/>
      <sz val="20"/>
      <color rgb="FF7030A0"/>
      <name val="Calibri"/>
      <family val="2"/>
      <scheme val="minor"/>
    </font>
    <font>
      <b/>
      <sz val="8"/>
      <color theme="1"/>
      <name val="Calibri"/>
      <family val="2"/>
      <scheme val="minor"/>
    </font>
    <font>
      <b/>
      <sz val="8"/>
      <color rgb="FFFF0000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4"/>
      <name val="Calibri"/>
      <family val="2"/>
      <scheme val="minor"/>
    </font>
    <font>
      <b/>
      <sz val="16"/>
      <color rgb="FF0070C0"/>
      <name val="Calibri"/>
      <family val="2"/>
      <scheme val="minor"/>
    </font>
    <font>
      <sz val="12"/>
      <color theme="1"/>
      <name val="Calibri"/>
      <family val="2"/>
      <scheme val="minor"/>
    </font>
  </fonts>
  <fills count="14">
    <fill>
      <patternFill patternType="none"/>
    </fill>
    <fill>
      <patternFill patternType="gray125"/>
    </fill>
    <fill>
      <patternFill patternType="solid">
        <fgColor theme="2" tint="-9.9978637043366805E-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8" tint="-0.499984740745262"/>
        <bgColor indexed="64"/>
      </patternFill>
    </fill>
  </fills>
  <borders count="19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</borders>
  <cellStyleXfs count="1">
    <xf numFmtId="0" fontId="0" fillId="0" borderId="0"/>
  </cellStyleXfs>
  <cellXfs count="123">
    <xf numFmtId="0" fontId="0" fillId="0" borderId="0" xfId="0"/>
    <xf numFmtId="0" fontId="2" fillId="3" borderId="0" xfId="0" applyFont="1" applyFill="1"/>
    <xf numFmtId="0" fontId="0" fillId="3" borderId="0" xfId="0" applyFill="1"/>
    <xf numFmtId="0" fontId="5" fillId="3" borderId="0" xfId="0" applyFont="1" applyFill="1"/>
    <xf numFmtId="0" fontId="0" fillId="3" borderId="4" xfId="0" applyFill="1" applyBorder="1"/>
    <xf numFmtId="0" fontId="0" fillId="4" borderId="1" xfId="0" applyFill="1" applyBorder="1" applyAlignment="1">
      <alignment horizontal="center" vertical="center" wrapText="1"/>
    </xf>
    <xf numFmtId="0" fontId="0" fillId="2" borderId="0" xfId="0" applyFill="1" applyBorder="1" applyAlignment="1">
      <alignment horizontal="right" vertical="center"/>
    </xf>
    <xf numFmtId="0" fontId="0" fillId="2" borderId="2" xfId="0" applyFill="1" applyBorder="1"/>
    <xf numFmtId="0" fontId="0" fillId="2" borderId="4" xfId="0" applyFill="1" applyBorder="1"/>
    <xf numFmtId="0" fontId="0" fillId="7" borderId="0" xfId="0" applyFill="1"/>
    <xf numFmtId="0" fontId="1" fillId="7" borderId="0" xfId="0" applyFont="1" applyFill="1"/>
    <xf numFmtId="0" fontId="0" fillId="3" borderId="0" xfId="0" applyFill="1" applyBorder="1"/>
    <xf numFmtId="0" fontId="0" fillId="3" borderId="8" xfId="0" applyFill="1" applyBorder="1"/>
    <xf numFmtId="0" fontId="0" fillId="3" borderId="0" xfId="0" applyFill="1" applyAlignment="1">
      <alignment vertical="center"/>
    </xf>
    <xf numFmtId="0" fontId="9" fillId="3" borderId="0" xfId="0" applyFont="1" applyFill="1" applyAlignment="1">
      <alignment vertical="center" wrapText="1"/>
    </xf>
    <xf numFmtId="0" fontId="3" fillId="5" borderId="1" xfId="0" applyFont="1" applyFill="1" applyBorder="1" applyAlignment="1">
      <alignment horizontal="center" vertical="center"/>
    </xf>
    <xf numFmtId="0" fontId="4" fillId="3" borderId="2" xfId="0" applyFont="1" applyFill="1" applyBorder="1"/>
    <xf numFmtId="0" fontId="4" fillId="3" borderId="3" xfId="0" applyFont="1" applyFill="1" applyBorder="1"/>
    <xf numFmtId="0" fontId="0" fillId="9" borderId="11" xfId="0" applyFill="1" applyBorder="1"/>
    <xf numFmtId="0" fontId="0" fillId="9" borderId="12" xfId="0" applyFill="1" applyBorder="1"/>
    <xf numFmtId="0" fontId="0" fillId="9" borderId="11" xfId="0" applyFill="1" applyBorder="1" applyAlignment="1"/>
    <xf numFmtId="1" fontId="1" fillId="3" borderId="0" xfId="0" applyNumberFormat="1" applyFont="1" applyFill="1" applyAlignment="1">
      <alignment horizontal="right" vertical="center"/>
    </xf>
    <xf numFmtId="0" fontId="8" fillId="3" borderId="0" xfId="0" applyFont="1" applyFill="1" applyAlignment="1">
      <alignment vertical="center" wrapText="1"/>
    </xf>
    <xf numFmtId="0" fontId="1" fillId="3" borderId="0" xfId="0" applyFont="1" applyFill="1" applyAlignment="1">
      <alignment horizontal="right"/>
    </xf>
    <xf numFmtId="0" fontId="11" fillId="10" borderId="13" xfId="0" applyFont="1" applyFill="1" applyBorder="1" applyAlignment="1">
      <alignment vertical="center"/>
    </xf>
    <xf numFmtId="0" fontId="0" fillId="10" borderId="13" xfId="0" applyFill="1" applyBorder="1"/>
    <xf numFmtId="0" fontId="0" fillId="10" borderId="10" xfId="0" applyFill="1" applyBorder="1"/>
    <xf numFmtId="0" fontId="0" fillId="10" borderId="11" xfId="0" applyFill="1" applyBorder="1"/>
    <xf numFmtId="0" fontId="0" fillId="10" borderId="14" xfId="0" applyFill="1" applyBorder="1"/>
    <xf numFmtId="0" fontId="0" fillId="10" borderId="12" xfId="0" applyFill="1" applyBorder="1"/>
    <xf numFmtId="0" fontId="0" fillId="7" borderId="0" xfId="0" applyFont="1" applyFill="1"/>
    <xf numFmtId="0" fontId="16" fillId="7" borderId="0" xfId="0" applyFont="1" applyFill="1" applyBorder="1" applyAlignment="1">
      <alignment horizontal="center" vertical="center"/>
    </xf>
    <xf numFmtId="0" fontId="0" fillId="7" borderId="13" xfId="0" applyFill="1" applyBorder="1"/>
    <xf numFmtId="0" fontId="0" fillId="7" borderId="10" xfId="0" applyFill="1" applyBorder="1"/>
    <xf numFmtId="0" fontId="0" fillId="7" borderId="0" xfId="0" applyFill="1" applyBorder="1"/>
    <xf numFmtId="0" fontId="0" fillId="7" borderId="16" xfId="0" applyFill="1" applyBorder="1"/>
    <xf numFmtId="0" fontId="16" fillId="7" borderId="15" xfId="0" applyFont="1" applyFill="1" applyBorder="1" applyAlignment="1">
      <alignment horizontal="center" vertical="center"/>
    </xf>
    <xf numFmtId="0" fontId="16" fillId="7" borderId="11" xfId="0" applyFont="1" applyFill="1" applyBorder="1" applyAlignment="1">
      <alignment horizontal="center" vertical="center"/>
    </xf>
    <xf numFmtId="0" fontId="16" fillId="7" borderId="14" xfId="0" applyFont="1" applyFill="1" applyBorder="1" applyAlignment="1">
      <alignment horizontal="center" vertical="center"/>
    </xf>
    <xf numFmtId="0" fontId="0" fillId="7" borderId="14" xfId="0" applyFill="1" applyBorder="1"/>
    <xf numFmtId="0" fontId="0" fillId="7" borderId="14" xfId="0" applyFont="1" applyFill="1" applyBorder="1"/>
    <xf numFmtId="0" fontId="0" fillId="7" borderId="12" xfId="0" applyFill="1" applyBorder="1"/>
    <xf numFmtId="0" fontId="14" fillId="7" borderId="0" xfId="0" applyFont="1" applyFill="1" applyBorder="1" applyAlignment="1">
      <alignment vertical="top"/>
    </xf>
    <xf numFmtId="0" fontId="12" fillId="10" borderId="14" xfId="0" applyFont="1" applyFill="1" applyBorder="1" applyAlignment="1">
      <alignment vertical="top"/>
    </xf>
    <xf numFmtId="0" fontId="17" fillId="3" borderId="0" xfId="0" applyFont="1" applyFill="1"/>
    <xf numFmtId="0" fontId="0" fillId="4" borderId="0" xfId="0" applyFill="1" applyBorder="1" applyAlignment="1">
      <alignment horizontal="center" vertical="center" wrapText="1"/>
    </xf>
    <xf numFmtId="0" fontId="0" fillId="3" borderId="0" xfId="0" applyFill="1" applyBorder="1" applyAlignment="1">
      <alignment horizontal="right"/>
    </xf>
    <xf numFmtId="0" fontId="4" fillId="2" borderId="0" xfId="0" applyFont="1" applyFill="1" applyBorder="1"/>
    <xf numFmtId="0" fontId="0" fillId="4" borderId="0" xfId="0" applyFill="1" applyBorder="1" applyAlignment="1">
      <alignment horizontal="center" vertical="center"/>
    </xf>
    <xf numFmtId="0" fontId="1" fillId="4" borderId="0" xfId="0" applyFont="1" applyFill="1" applyBorder="1" applyAlignment="1">
      <alignment horizontal="center" vertical="center" wrapText="1"/>
    </xf>
    <xf numFmtId="0" fontId="0" fillId="4" borderId="2" xfId="0" applyFill="1" applyBorder="1" applyAlignment="1">
      <alignment horizontal="center" vertical="center"/>
    </xf>
    <xf numFmtId="0" fontId="0" fillId="4" borderId="2" xfId="0" applyFill="1" applyBorder="1" applyAlignment="1">
      <alignment horizontal="center" vertical="center" wrapText="1"/>
    </xf>
    <xf numFmtId="0" fontId="0" fillId="4" borderId="8" xfId="0" applyFill="1" applyBorder="1" applyAlignment="1">
      <alignment horizontal="center" vertical="center" wrapText="1"/>
    </xf>
    <xf numFmtId="0" fontId="1" fillId="4" borderId="2" xfId="0" applyFont="1" applyFill="1" applyBorder="1" applyAlignment="1">
      <alignment horizontal="center" vertical="center" wrapText="1"/>
    </xf>
    <xf numFmtId="0" fontId="0" fillId="4" borderId="4" xfId="0" applyFill="1" applyBorder="1" applyAlignment="1">
      <alignment horizontal="center" vertical="center" wrapText="1"/>
    </xf>
    <xf numFmtId="0" fontId="0" fillId="2" borderId="0" xfId="0" applyFill="1" applyBorder="1"/>
    <xf numFmtId="0" fontId="4" fillId="3" borderId="0" xfId="0" applyFont="1" applyFill="1" applyBorder="1"/>
    <xf numFmtId="1" fontId="7" fillId="6" borderId="0" xfId="0" applyNumberFormat="1" applyFont="1" applyFill="1" applyBorder="1"/>
    <xf numFmtId="0" fontId="7" fillId="3" borderId="0" xfId="0" applyFont="1" applyFill="1" applyBorder="1"/>
    <xf numFmtId="0" fontId="0" fillId="2" borderId="8" xfId="0" applyFill="1" applyBorder="1" applyAlignment="1">
      <alignment horizontal="right" vertical="center"/>
    </xf>
    <xf numFmtId="0" fontId="0" fillId="2" borderId="8" xfId="0" applyFill="1" applyBorder="1"/>
    <xf numFmtId="0" fontId="4" fillId="3" borderId="8" xfId="0" applyFont="1" applyFill="1" applyBorder="1"/>
    <xf numFmtId="1" fontId="7" fillId="6" borderId="8" xfId="0" applyNumberFormat="1" applyFont="1" applyFill="1" applyBorder="1"/>
    <xf numFmtId="0" fontId="7" fillId="3" borderId="8" xfId="0" applyFont="1" applyFill="1" applyBorder="1"/>
    <xf numFmtId="0" fontId="4" fillId="3" borderId="4" xfId="0" applyFont="1" applyFill="1" applyBorder="1"/>
    <xf numFmtId="0" fontId="18" fillId="3" borderId="0" xfId="0" applyFont="1" applyFill="1" applyAlignment="1">
      <alignment vertical="center"/>
    </xf>
    <xf numFmtId="0" fontId="0" fillId="7" borderId="0" xfId="0" applyFill="1" applyAlignment="1"/>
    <xf numFmtId="0" fontId="3" fillId="13" borderId="9" xfId="0" applyFont="1" applyFill="1" applyBorder="1" applyAlignment="1">
      <alignment horizontal="center" vertical="center" wrapText="1"/>
    </xf>
    <xf numFmtId="0" fontId="3" fillId="13" borderId="13" xfId="0" applyFont="1" applyFill="1" applyBorder="1" applyAlignment="1">
      <alignment horizontal="center" vertical="center" wrapText="1"/>
    </xf>
    <xf numFmtId="0" fontId="3" fillId="13" borderId="13" xfId="0" applyFont="1" applyFill="1" applyBorder="1" applyAlignment="1">
      <alignment wrapText="1"/>
    </xf>
    <xf numFmtId="0" fontId="3" fillId="13" borderId="10" xfId="0" applyFont="1" applyFill="1" applyBorder="1" applyAlignment="1">
      <alignment wrapText="1"/>
    </xf>
    <xf numFmtId="0" fontId="0" fillId="9" borderId="15" xfId="0" applyFill="1" applyBorder="1"/>
    <xf numFmtId="0" fontId="0" fillId="9" borderId="0" xfId="0" applyFill="1" applyBorder="1"/>
    <xf numFmtId="0" fontId="0" fillId="9" borderId="16" xfId="0" applyFill="1" applyBorder="1"/>
    <xf numFmtId="0" fontId="0" fillId="9" borderId="14" xfId="0" applyFill="1" applyBorder="1"/>
    <xf numFmtId="0" fontId="0" fillId="6" borderId="8" xfId="0" applyFill="1" applyBorder="1" applyAlignment="1">
      <alignment horizontal="center"/>
    </xf>
    <xf numFmtId="0" fontId="0" fillId="6" borderId="2" xfId="0" applyFill="1" applyBorder="1" applyAlignment="1">
      <alignment horizontal="center"/>
    </xf>
    <xf numFmtId="0" fontId="0" fillId="3" borderId="3" xfId="0" applyFill="1" applyBorder="1"/>
    <xf numFmtId="0" fontId="0" fillId="3" borderId="5" xfId="0" applyFill="1" applyBorder="1"/>
    <xf numFmtId="0" fontId="4" fillId="3" borderId="5" xfId="0" applyFont="1" applyFill="1" applyBorder="1"/>
    <xf numFmtId="0" fontId="0" fillId="3" borderId="7" xfId="0" applyFill="1" applyBorder="1"/>
    <xf numFmtId="0" fontId="10" fillId="8" borderId="9" xfId="0" applyFont="1" applyFill="1" applyBorder="1" applyAlignment="1">
      <alignment horizontal="center" vertical="center" wrapText="1"/>
    </xf>
    <xf numFmtId="0" fontId="10" fillId="8" borderId="10" xfId="0" applyFont="1" applyFill="1" applyBorder="1" applyAlignment="1">
      <alignment horizontal="center" vertical="center" wrapText="1"/>
    </xf>
    <xf numFmtId="0" fontId="3" fillId="8" borderId="9" xfId="0" applyFont="1" applyFill="1" applyBorder="1" applyAlignment="1">
      <alignment horizontal="center" vertical="center" wrapText="1"/>
    </xf>
    <xf numFmtId="0" fontId="22" fillId="7" borderId="0" xfId="0" applyFont="1" applyFill="1"/>
    <xf numFmtId="0" fontId="23" fillId="7" borderId="0" xfId="0" applyFont="1" applyFill="1" applyBorder="1"/>
    <xf numFmtId="1" fontId="1" fillId="9" borderId="17" xfId="0" applyNumberFormat="1" applyFont="1" applyFill="1" applyBorder="1" applyAlignment="1">
      <alignment horizontal="center"/>
    </xf>
    <xf numFmtId="1" fontId="1" fillId="9" borderId="12" xfId="0" applyNumberFormat="1" applyFont="1" applyFill="1" applyBorder="1" applyAlignment="1">
      <alignment horizontal="center"/>
    </xf>
    <xf numFmtId="1" fontId="1" fillId="9" borderId="11" xfId="0" applyNumberFormat="1" applyFont="1" applyFill="1" applyBorder="1" applyAlignment="1">
      <alignment horizontal="center"/>
    </xf>
    <xf numFmtId="1" fontId="1" fillId="9" borderId="14" xfId="0" applyNumberFormat="1" applyFont="1" applyFill="1" applyBorder="1" applyAlignment="1">
      <alignment horizontal="center"/>
    </xf>
    <xf numFmtId="0" fontId="15" fillId="11" borderId="9" xfId="0" applyFont="1" applyFill="1" applyBorder="1" applyAlignment="1">
      <alignment horizontal="center" vertical="center"/>
    </xf>
    <xf numFmtId="0" fontId="15" fillId="11" borderId="13" xfId="0" applyFont="1" applyFill="1" applyBorder="1" applyAlignment="1">
      <alignment horizontal="center" vertical="center"/>
    </xf>
    <xf numFmtId="0" fontId="16" fillId="12" borderId="9" xfId="0" applyFont="1" applyFill="1" applyBorder="1" applyAlignment="1">
      <alignment horizontal="center" vertical="center"/>
    </xf>
    <xf numFmtId="0" fontId="16" fillId="12" borderId="13" xfId="0" applyFont="1" applyFill="1" applyBorder="1" applyAlignment="1">
      <alignment horizontal="center" vertical="center"/>
    </xf>
    <xf numFmtId="0" fontId="16" fillId="12" borderId="15" xfId="0" applyFont="1" applyFill="1" applyBorder="1" applyAlignment="1">
      <alignment horizontal="center" vertical="center"/>
    </xf>
    <xf numFmtId="0" fontId="16" fillId="12" borderId="0" xfId="0" applyFont="1" applyFill="1" applyBorder="1" applyAlignment="1">
      <alignment horizontal="center" vertical="center"/>
    </xf>
    <xf numFmtId="0" fontId="3" fillId="5" borderId="0" xfId="0" applyFont="1" applyFill="1" applyBorder="1" applyAlignment="1">
      <alignment horizontal="center" vertical="center" wrapText="1"/>
    </xf>
    <xf numFmtId="0" fontId="3" fillId="5" borderId="1" xfId="0" applyFont="1" applyFill="1" applyBorder="1" applyAlignment="1">
      <alignment horizontal="center" vertical="center" wrapText="1"/>
    </xf>
    <xf numFmtId="0" fontId="3" fillId="5" borderId="1" xfId="0" applyFont="1" applyFill="1" applyBorder="1" applyAlignment="1">
      <alignment horizontal="center"/>
    </xf>
    <xf numFmtId="0" fontId="3" fillId="5" borderId="7" xfId="0" applyFont="1" applyFill="1" applyBorder="1" applyAlignment="1">
      <alignment horizontal="center"/>
    </xf>
    <xf numFmtId="0" fontId="3" fillId="5" borderId="6" xfId="0" applyFont="1" applyFill="1" applyBorder="1" applyAlignment="1">
      <alignment horizontal="center"/>
    </xf>
    <xf numFmtId="0" fontId="3" fillId="8" borderId="9" xfId="0" applyFont="1" applyFill="1" applyBorder="1" applyAlignment="1">
      <alignment horizontal="center" vertical="center" wrapText="1"/>
    </xf>
    <xf numFmtId="0" fontId="3" fillId="8" borderId="13" xfId="0" applyFont="1" applyFill="1" applyBorder="1" applyAlignment="1">
      <alignment horizontal="center" vertical="center" wrapText="1"/>
    </xf>
    <xf numFmtId="0" fontId="3" fillId="8" borderId="10" xfId="0" applyFont="1" applyFill="1" applyBorder="1" applyAlignment="1">
      <alignment horizontal="center" vertical="center" wrapText="1"/>
    </xf>
    <xf numFmtId="0" fontId="3" fillId="8" borderId="18" xfId="0" applyFont="1" applyFill="1" applyBorder="1" applyAlignment="1">
      <alignment horizontal="center" vertical="center" wrapText="1"/>
    </xf>
    <xf numFmtId="0" fontId="0" fillId="4" borderId="0" xfId="0" applyFill="1" applyBorder="1" applyAlignment="1">
      <alignment horizontal="center" vertical="center"/>
    </xf>
    <xf numFmtId="0" fontId="9" fillId="3" borderId="0" xfId="0" applyFont="1" applyFill="1" applyAlignment="1">
      <alignment horizontal="center" vertical="center" wrapText="1"/>
    </xf>
    <xf numFmtId="0" fontId="3" fillId="5" borderId="0" xfId="0" applyFont="1" applyFill="1" applyAlignment="1">
      <alignment horizontal="center"/>
    </xf>
    <xf numFmtId="0" fontId="0" fillId="6" borderId="0" xfId="0" applyFill="1" applyAlignment="1">
      <alignment horizontal="center"/>
    </xf>
    <xf numFmtId="0" fontId="18" fillId="3" borderId="0" xfId="0" applyFont="1" applyFill="1" applyAlignment="1">
      <alignment horizontal="center" vertical="center" wrapText="1"/>
    </xf>
    <xf numFmtId="0" fontId="20" fillId="9" borderId="11" xfId="0" applyFont="1" applyFill="1" applyBorder="1" applyAlignment="1">
      <alignment horizontal="center"/>
    </xf>
    <xf numFmtId="0" fontId="20" fillId="9" borderId="14" xfId="0" applyFont="1" applyFill="1" applyBorder="1" applyAlignment="1">
      <alignment horizontal="center"/>
    </xf>
    <xf numFmtId="0" fontId="20" fillId="9" borderId="12" xfId="0" applyFont="1" applyFill="1" applyBorder="1" applyAlignment="1">
      <alignment horizontal="center"/>
    </xf>
    <xf numFmtId="0" fontId="3" fillId="13" borderId="9" xfId="0" applyFont="1" applyFill="1" applyBorder="1" applyAlignment="1">
      <alignment horizontal="center" vertical="center" wrapText="1"/>
    </xf>
    <xf numFmtId="0" fontId="3" fillId="13" borderId="10" xfId="0" applyFont="1" applyFill="1" applyBorder="1" applyAlignment="1">
      <alignment horizontal="center" vertical="center" wrapText="1"/>
    </xf>
    <xf numFmtId="0" fontId="21" fillId="7" borderId="11" xfId="0" applyFont="1" applyFill="1" applyBorder="1" applyAlignment="1">
      <alignment horizontal="center"/>
    </xf>
    <xf numFmtId="0" fontId="21" fillId="7" borderId="12" xfId="0" applyFont="1" applyFill="1" applyBorder="1" applyAlignment="1">
      <alignment horizontal="center"/>
    </xf>
    <xf numFmtId="0" fontId="3" fillId="13" borderId="13" xfId="0" applyFont="1" applyFill="1" applyBorder="1" applyAlignment="1">
      <alignment horizontal="center" vertical="center" wrapText="1"/>
    </xf>
    <xf numFmtId="0" fontId="3" fillId="13" borderId="15" xfId="0" applyFont="1" applyFill="1" applyBorder="1" applyAlignment="1">
      <alignment horizontal="center" vertical="center" wrapText="1"/>
    </xf>
    <xf numFmtId="0" fontId="3" fillId="13" borderId="0" xfId="0" applyFont="1" applyFill="1" applyBorder="1" applyAlignment="1">
      <alignment horizontal="center" vertical="center" wrapText="1"/>
    </xf>
    <xf numFmtId="0" fontId="3" fillId="13" borderId="16" xfId="0" applyFont="1" applyFill="1" applyBorder="1" applyAlignment="1">
      <alignment horizontal="center" vertical="center" wrapText="1"/>
    </xf>
    <xf numFmtId="0" fontId="11" fillId="7" borderId="0" xfId="0" applyFont="1" applyFill="1" applyBorder="1"/>
    <xf numFmtId="0" fontId="11" fillId="7" borderId="14" xfId="0" applyFont="1" applyFill="1" applyBorder="1" applyAlignment="1">
      <alignment vertical="top"/>
    </xf>
  </cellXfs>
  <cellStyles count="1">
    <cellStyle name="Normal" xfId="0" builtinId="0"/>
  </cellStyles>
  <dxfs count="29">
    <dxf>
      <font>
        <b val="0"/>
        <i val="0"/>
      </font>
      <fill>
        <patternFill>
          <bgColor theme="5" tint="0.39994506668294322"/>
        </patternFill>
      </fill>
    </dxf>
    <dxf>
      <font>
        <b val="0"/>
        <i val="0"/>
      </font>
      <fill>
        <patternFill>
          <bgColor theme="5" tint="0.39994506668294322"/>
        </patternFill>
      </fill>
    </dxf>
    <dxf>
      <fill>
        <patternFill>
          <bgColor theme="8" tint="0.59996337778862885"/>
        </patternFill>
      </fill>
    </dxf>
    <dxf>
      <font>
        <b val="0"/>
        <i val="0"/>
      </font>
    </dxf>
    <dxf>
      <fill>
        <patternFill>
          <bgColor theme="8" tint="0.59996337778862885"/>
        </patternFill>
      </fill>
    </dxf>
    <dxf>
      <font>
        <b val="0"/>
        <i val="0"/>
      </font>
    </dxf>
    <dxf>
      <fill>
        <patternFill>
          <bgColor theme="9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6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6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6" tint="0.59996337778862885"/>
        </patternFill>
      </fill>
    </dxf>
    <dxf>
      <fill>
        <patternFill>
          <bgColor theme="6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6" tint="0.59996337778862885"/>
        </patternFill>
      </fill>
    </dxf>
    <dxf>
      <fill>
        <patternFill>
          <bgColor theme="6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6" tint="0.59996337778862885"/>
        </patternFill>
      </fill>
    </dxf>
    <dxf>
      <fill>
        <patternFill>
          <bgColor theme="6" tint="0.59996337778862885"/>
        </patternFill>
      </fill>
    </dxf>
    <dxf>
      <fill>
        <patternFill>
          <bgColor theme="6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6" tint="0.59996337778862885"/>
        </patternFill>
      </fill>
    </dxf>
    <dxf>
      <fill>
        <patternFill>
          <bgColor theme="6" tint="0.59996337778862885"/>
        </patternFill>
      </fill>
    </dxf>
    <dxf>
      <fill>
        <patternFill>
          <bgColor theme="6" tint="0.59996337778862885"/>
        </patternFill>
      </fill>
    </dxf>
    <dxf>
      <fill>
        <patternFill>
          <bgColor theme="5" tint="0.59996337778862885"/>
        </patternFill>
      </fill>
    </dxf>
    <dxf>
      <font>
        <b val="0"/>
        <i val="0"/>
      </font>
      <fill>
        <patternFill>
          <bgColor theme="5" tint="0.39994506668294322"/>
        </patternFill>
      </fill>
    </dxf>
  </dxfs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s-ES"/>
  <c:chart>
    <c:title>
      <c:tx>
        <c:rich>
          <a:bodyPr/>
          <a:lstStyle/>
          <a:p>
            <a:pPr>
              <a:defRPr/>
            </a:pPr>
            <a:r>
              <a:rPr lang="es-ES"/>
              <a:t>Ajuste tonal</a:t>
            </a:r>
          </a:p>
        </c:rich>
      </c:tx>
      <c:layout/>
    </c:title>
    <c:plotArea>
      <c:layout>
        <c:manualLayout>
          <c:layoutTarget val="inner"/>
          <c:xMode val="edge"/>
          <c:yMode val="edge"/>
          <c:x val="0.10662475075471689"/>
          <c:y val="0.14552490579200494"/>
          <c:w val="0.85099944484411538"/>
          <c:h val="0.65227500157251861"/>
        </c:manualLayout>
      </c:layout>
      <c:scatterChart>
        <c:scatterStyle val="lineMarker"/>
        <c:ser>
          <c:idx val="0"/>
          <c:order val="0"/>
          <c:tx>
            <c:v>Medido</c:v>
          </c:tx>
          <c:spPr>
            <a:ln>
              <a:noFill/>
            </a:ln>
          </c:spPr>
          <c:dLbls>
            <c:dLblPos val="t"/>
            <c:showVal val="1"/>
          </c:dLbls>
          <c:errBars>
            <c:errDir val="x"/>
            <c:errBarType val="both"/>
            <c:errValType val="cust"/>
            <c:plus>
              <c:numRef>
                <c:f>VALIDO!$J$20:$J$32</c:f>
                <c:numCache>
                  <c:formatCode>General</c:formatCode>
                  <c:ptCount val="13"/>
                  <c:pt idx="0">
                    <c:v>0</c:v>
                  </c:pt>
                  <c:pt idx="1">
                    <c:v>0</c:v>
                  </c:pt>
                  <c:pt idx="2">
                    <c:v>0</c:v>
                  </c:pt>
                  <c:pt idx="3">
                    <c:v>0</c:v>
                  </c:pt>
                  <c:pt idx="4">
                    <c:v>0</c:v>
                  </c:pt>
                  <c:pt idx="5">
                    <c:v>0</c:v>
                  </c:pt>
                  <c:pt idx="6">
                    <c:v>0</c:v>
                  </c:pt>
                  <c:pt idx="7">
                    <c:v>0</c:v>
                  </c:pt>
                  <c:pt idx="8">
                    <c:v>0</c:v>
                  </c:pt>
                  <c:pt idx="9">
                    <c:v>0</c:v>
                  </c:pt>
                  <c:pt idx="10">
                    <c:v>0</c:v>
                  </c:pt>
                  <c:pt idx="11">
                    <c:v>0</c:v>
                  </c:pt>
                  <c:pt idx="12">
                    <c:v>0</c:v>
                  </c:pt>
                </c:numCache>
              </c:numRef>
            </c:plus>
            <c:minus>
              <c:numRef>
                <c:f>VALIDO!$J$20:$J$32</c:f>
                <c:numCache>
                  <c:formatCode>General</c:formatCode>
                  <c:ptCount val="13"/>
                  <c:pt idx="0">
                    <c:v>0</c:v>
                  </c:pt>
                  <c:pt idx="1">
                    <c:v>0</c:v>
                  </c:pt>
                  <c:pt idx="2">
                    <c:v>0</c:v>
                  </c:pt>
                  <c:pt idx="3">
                    <c:v>0</c:v>
                  </c:pt>
                  <c:pt idx="4">
                    <c:v>0</c:v>
                  </c:pt>
                  <c:pt idx="5">
                    <c:v>0</c:v>
                  </c:pt>
                  <c:pt idx="6">
                    <c:v>0</c:v>
                  </c:pt>
                  <c:pt idx="7">
                    <c:v>0</c:v>
                  </c:pt>
                  <c:pt idx="8">
                    <c:v>0</c:v>
                  </c:pt>
                  <c:pt idx="9">
                    <c:v>0</c:v>
                  </c:pt>
                  <c:pt idx="10">
                    <c:v>0</c:v>
                  </c:pt>
                  <c:pt idx="11">
                    <c:v>0</c:v>
                  </c:pt>
                  <c:pt idx="12">
                    <c:v>0</c:v>
                  </c:pt>
                </c:numCache>
              </c:numRef>
            </c:minus>
          </c:errBars>
          <c:errBars>
            <c:errDir val="y"/>
            <c:errBarType val="both"/>
            <c:errValType val="cust"/>
            <c:plus>
              <c:numRef>
                <c:f>VALIDO!$J$20:$J$32</c:f>
                <c:numCache>
                  <c:formatCode>General</c:formatCode>
                  <c:ptCount val="13"/>
                  <c:pt idx="0">
                    <c:v>0</c:v>
                  </c:pt>
                  <c:pt idx="1">
                    <c:v>0</c:v>
                  </c:pt>
                  <c:pt idx="2">
                    <c:v>0</c:v>
                  </c:pt>
                  <c:pt idx="3">
                    <c:v>0</c:v>
                  </c:pt>
                  <c:pt idx="4">
                    <c:v>0</c:v>
                  </c:pt>
                  <c:pt idx="5">
                    <c:v>0</c:v>
                  </c:pt>
                  <c:pt idx="6">
                    <c:v>0</c:v>
                  </c:pt>
                  <c:pt idx="7">
                    <c:v>0</c:v>
                  </c:pt>
                  <c:pt idx="8">
                    <c:v>0</c:v>
                  </c:pt>
                  <c:pt idx="9">
                    <c:v>0</c:v>
                  </c:pt>
                  <c:pt idx="10">
                    <c:v>0</c:v>
                  </c:pt>
                  <c:pt idx="11">
                    <c:v>0</c:v>
                  </c:pt>
                  <c:pt idx="12">
                    <c:v>0</c:v>
                  </c:pt>
                </c:numCache>
              </c:numRef>
            </c:plus>
            <c:minus>
              <c:numRef>
                <c:f>VALIDO!$J$20:$J$32</c:f>
                <c:numCache>
                  <c:formatCode>General</c:formatCode>
                  <c:ptCount val="13"/>
                  <c:pt idx="0">
                    <c:v>0</c:v>
                  </c:pt>
                  <c:pt idx="1">
                    <c:v>0</c:v>
                  </c:pt>
                  <c:pt idx="2">
                    <c:v>0</c:v>
                  </c:pt>
                  <c:pt idx="3">
                    <c:v>0</c:v>
                  </c:pt>
                  <c:pt idx="4">
                    <c:v>0</c:v>
                  </c:pt>
                  <c:pt idx="5">
                    <c:v>0</c:v>
                  </c:pt>
                  <c:pt idx="6">
                    <c:v>0</c:v>
                  </c:pt>
                  <c:pt idx="7">
                    <c:v>0</c:v>
                  </c:pt>
                  <c:pt idx="8">
                    <c:v>0</c:v>
                  </c:pt>
                  <c:pt idx="9">
                    <c:v>0</c:v>
                  </c:pt>
                  <c:pt idx="10">
                    <c:v>0</c:v>
                  </c:pt>
                  <c:pt idx="11">
                    <c:v>0</c:v>
                  </c:pt>
                  <c:pt idx="12">
                    <c:v>0</c:v>
                  </c:pt>
                </c:numCache>
              </c:numRef>
            </c:minus>
          </c:errBars>
          <c:xVal>
            <c:numRef>
              <c:f>VALIDO!$D$20:$D$32</c:f>
              <c:numCache>
                <c:formatCode>General</c:formatCode>
                <c:ptCount val="13"/>
              </c:numCache>
            </c:numRef>
          </c:xVal>
          <c:yVal>
            <c:numRef>
              <c:f>VALIDO!$C$20:$C$32</c:f>
              <c:numCache>
                <c:formatCode>General</c:formatCode>
                <c:ptCount val="13"/>
              </c:numCache>
            </c:numRef>
          </c:yVal>
        </c:ser>
        <c:ser>
          <c:idx val="1"/>
          <c:order val="1"/>
          <c:tx>
            <c:v>Teorico</c:v>
          </c:tx>
          <c:spPr>
            <a:ln>
              <a:solidFill>
                <a:schemeClr val="accent2"/>
              </a:solidFill>
            </a:ln>
          </c:spPr>
          <c:marker>
            <c:symbol val="x"/>
            <c:size val="7"/>
            <c:spPr>
              <a:noFill/>
            </c:spPr>
          </c:marker>
          <c:xVal>
            <c:numRef>
              <c:f>VALIDO!$C$20:$C$32</c:f>
              <c:numCache>
                <c:formatCode>General</c:formatCode>
                <c:ptCount val="13"/>
              </c:numCache>
            </c:numRef>
          </c:xVal>
          <c:yVal>
            <c:numRef>
              <c:f>VALIDO!$C$20:$C$32</c:f>
              <c:numCache>
                <c:formatCode>General</c:formatCode>
                <c:ptCount val="13"/>
              </c:numCache>
            </c:numRef>
          </c:yVal>
        </c:ser>
        <c:axId val="194727936"/>
        <c:axId val="194730240"/>
      </c:scatterChart>
      <c:valAx>
        <c:axId val="194727936"/>
        <c:scaling>
          <c:orientation val="minMax"/>
          <c:max val="9000"/>
          <c:min val="0"/>
        </c:scaling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s-ES"/>
                  <a:t>Frecuencia</a:t>
                </a:r>
                <a:r>
                  <a:rPr lang="es-ES" baseline="0"/>
                  <a:t> medida</a:t>
                </a:r>
                <a:endParaRPr lang="es-ES"/>
              </a:p>
            </c:rich>
          </c:tx>
          <c:layout/>
        </c:title>
        <c:numFmt formatCode="General" sourceLinked="1"/>
        <c:tickLblPos val="nextTo"/>
        <c:crossAx val="194730240"/>
        <c:crosses val="autoZero"/>
        <c:crossBetween val="midCat"/>
      </c:valAx>
      <c:valAx>
        <c:axId val="194730240"/>
        <c:scaling>
          <c:orientation val="minMax"/>
          <c:min val="0"/>
        </c:scaling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s-ES"/>
                  <a:t>Frecuencia</a:t>
                </a:r>
                <a:r>
                  <a:rPr lang="es-ES" baseline="0"/>
                  <a:t> real</a:t>
                </a:r>
                <a:endParaRPr lang="es-ES"/>
              </a:p>
            </c:rich>
          </c:tx>
          <c:layout/>
        </c:title>
        <c:numFmt formatCode="General" sourceLinked="1"/>
        <c:tickLblPos val="nextTo"/>
        <c:crossAx val="194727936"/>
        <c:crosses val="autoZero"/>
        <c:crossBetween val="midCat"/>
      </c:valAx>
      <c:spPr>
        <a:ln>
          <a:noFill/>
        </a:ln>
      </c:spPr>
    </c:plotArea>
    <c:legend>
      <c:legendPos val="r"/>
      <c:layout>
        <c:manualLayout>
          <c:xMode val="edge"/>
          <c:yMode val="edge"/>
          <c:x val="0.84599680046252279"/>
          <c:y val="1.5049834456967481E-2"/>
          <c:w val="0.13334424106077691"/>
          <c:h val="0.10821611840710253"/>
        </c:manualLayout>
      </c:layout>
      <c:overlay val="1"/>
    </c:legend>
    <c:plotVisOnly val="1"/>
  </c:chart>
  <c:printSettings>
    <c:headerFooter/>
    <c:pageMargins b="0.75000000000000266" l="0.70000000000000062" r="0.70000000000000062" t="0.75000000000000266" header="0.30000000000000032" footer="0.3000000000000003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s-ES"/>
  <c:chart>
    <c:title>
      <c:tx>
        <c:rich>
          <a:bodyPr/>
          <a:lstStyle/>
          <a:p>
            <a:pPr>
              <a:defRPr/>
            </a:pPr>
            <a:r>
              <a:rPr lang="es-ES"/>
              <a:t>Ajuste nivel sonoro</a:t>
            </a:r>
          </a:p>
        </c:rich>
      </c:tx>
      <c:layout/>
    </c:title>
    <c:plotArea>
      <c:layout/>
      <c:scatterChart>
        <c:scatterStyle val="lineMarker"/>
        <c:ser>
          <c:idx val="0"/>
          <c:order val="0"/>
          <c:tx>
            <c:v>Medido</c:v>
          </c:tx>
          <c:spPr>
            <a:ln>
              <a:noFill/>
            </a:ln>
          </c:spPr>
          <c:dLbls>
            <c:dLblPos val="t"/>
            <c:showVal val="1"/>
          </c:dLbls>
          <c:errBars>
            <c:errDir val="x"/>
            <c:errBarType val="both"/>
            <c:errValType val="cust"/>
            <c:plus>
              <c:numRef>
                <c:f>VALIDO!$H$20:$H$32</c:f>
                <c:numCache>
                  <c:formatCode>General</c:formatCode>
                  <c:ptCount val="13"/>
                  <c:pt idx="0">
                    <c:v>2</c:v>
                  </c:pt>
                  <c:pt idx="1">
                    <c:v>2</c:v>
                  </c:pt>
                  <c:pt idx="2">
                    <c:v>2</c:v>
                  </c:pt>
                  <c:pt idx="3">
                    <c:v>2</c:v>
                  </c:pt>
                  <c:pt idx="4">
                    <c:v>2</c:v>
                  </c:pt>
                  <c:pt idx="5">
                    <c:v>2</c:v>
                  </c:pt>
                  <c:pt idx="6">
                    <c:v>2</c:v>
                  </c:pt>
                  <c:pt idx="7">
                    <c:v>2</c:v>
                  </c:pt>
                  <c:pt idx="8">
                    <c:v>2</c:v>
                  </c:pt>
                  <c:pt idx="9">
                    <c:v>2</c:v>
                  </c:pt>
                  <c:pt idx="10">
                    <c:v>2</c:v>
                  </c:pt>
                  <c:pt idx="11">
                    <c:v>2</c:v>
                  </c:pt>
                  <c:pt idx="12">
                    <c:v>2</c:v>
                  </c:pt>
                </c:numCache>
              </c:numRef>
            </c:plus>
            <c:minus>
              <c:numRef>
                <c:f>VALIDO!$H$20:$H$32</c:f>
                <c:numCache>
                  <c:formatCode>General</c:formatCode>
                  <c:ptCount val="13"/>
                  <c:pt idx="0">
                    <c:v>2</c:v>
                  </c:pt>
                  <c:pt idx="1">
                    <c:v>2</c:v>
                  </c:pt>
                  <c:pt idx="2">
                    <c:v>2</c:v>
                  </c:pt>
                  <c:pt idx="3">
                    <c:v>2</c:v>
                  </c:pt>
                  <c:pt idx="4">
                    <c:v>2</c:v>
                  </c:pt>
                  <c:pt idx="5">
                    <c:v>2</c:v>
                  </c:pt>
                  <c:pt idx="6">
                    <c:v>2</c:v>
                  </c:pt>
                  <c:pt idx="7">
                    <c:v>2</c:v>
                  </c:pt>
                  <c:pt idx="8">
                    <c:v>2</c:v>
                  </c:pt>
                  <c:pt idx="9">
                    <c:v>2</c:v>
                  </c:pt>
                  <c:pt idx="10">
                    <c:v>2</c:v>
                  </c:pt>
                  <c:pt idx="11">
                    <c:v>2</c:v>
                  </c:pt>
                  <c:pt idx="12">
                    <c:v>2</c:v>
                  </c:pt>
                </c:numCache>
              </c:numRef>
            </c:minus>
          </c:errBars>
          <c:errBars>
            <c:errDir val="y"/>
            <c:errBarType val="both"/>
            <c:errValType val="cust"/>
            <c:plus>
              <c:numRef>
                <c:f>VALIDO!$H$20:$H$32</c:f>
                <c:numCache>
                  <c:formatCode>General</c:formatCode>
                  <c:ptCount val="13"/>
                  <c:pt idx="0">
                    <c:v>2</c:v>
                  </c:pt>
                  <c:pt idx="1">
                    <c:v>2</c:v>
                  </c:pt>
                  <c:pt idx="2">
                    <c:v>2</c:v>
                  </c:pt>
                  <c:pt idx="3">
                    <c:v>2</c:v>
                  </c:pt>
                  <c:pt idx="4">
                    <c:v>2</c:v>
                  </c:pt>
                  <c:pt idx="5">
                    <c:v>2</c:v>
                  </c:pt>
                  <c:pt idx="6">
                    <c:v>2</c:v>
                  </c:pt>
                  <c:pt idx="7">
                    <c:v>2</c:v>
                  </c:pt>
                  <c:pt idx="8">
                    <c:v>2</c:v>
                  </c:pt>
                  <c:pt idx="9">
                    <c:v>2</c:v>
                  </c:pt>
                  <c:pt idx="10">
                    <c:v>2</c:v>
                  </c:pt>
                  <c:pt idx="11">
                    <c:v>2</c:v>
                  </c:pt>
                  <c:pt idx="12">
                    <c:v>2</c:v>
                  </c:pt>
                </c:numCache>
              </c:numRef>
            </c:plus>
            <c:minus>
              <c:numRef>
                <c:f>VALIDO!$H$20:$H$32</c:f>
                <c:numCache>
                  <c:formatCode>General</c:formatCode>
                  <c:ptCount val="13"/>
                  <c:pt idx="0">
                    <c:v>2</c:v>
                  </c:pt>
                  <c:pt idx="1">
                    <c:v>2</c:v>
                  </c:pt>
                  <c:pt idx="2">
                    <c:v>2</c:v>
                  </c:pt>
                  <c:pt idx="3">
                    <c:v>2</c:v>
                  </c:pt>
                  <c:pt idx="4">
                    <c:v>2</c:v>
                  </c:pt>
                  <c:pt idx="5">
                    <c:v>2</c:v>
                  </c:pt>
                  <c:pt idx="6">
                    <c:v>2</c:v>
                  </c:pt>
                  <c:pt idx="7">
                    <c:v>2</c:v>
                  </c:pt>
                  <c:pt idx="8">
                    <c:v>2</c:v>
                  </c:pt>
                  <c:pt idx="9">
                    <c:v>2</c:v>
                  </c:pt>
                  <c:pt idx="10">
                    <c:v>2</c:v>
                  </c:pt>
                  <c:pt idx="11">
                    <c:v>2</c:v>
                  </c:pt>
                  <c:pt idx="12">
                    <c:v>2</c:v>
                  </c:pt>
                </c:numCache>
              </c:numRef>
            </c:minus>
          </c:errBars>
          <c:xVal>
            <c:numRef>
              <c:f>VALIDO!$F$20:$F$32</c:f>
              <c:numCache>
                <c:formatCode>General</c:formatCode>
                <c:ptCount val="13"/>
              </c:numCache>
            </c:numRef>
          </c:xVal>
          <c:yVal>
            <c:numRef>
              <c:f>VALIDO!$E$20:$E$32</c:f>
              <c:numCache>
                <c:formatCode>General</c:formatCode>
                <c:ptCount val="13"/>
              </c:numCache>
            </c:numRef>
          </c:yVal>
        </c:ser>
        <c:ser>
          <c:idx val="1"/>
          <c:order val="1"/>
          <c:tx>
            <c:v>Teorico</c:v>
          </c:tx>
          <c:marker>
            <c:symbol val="x"/>
            <c:size val="8"/>
          </c:marker>
          <c:xVal>
            <c:numRef>
              <c:f>VALIDO!$E$20:$E$32</c:f>
              <c:numCache>
                <c:formatCode>General</c:formatCode>
                <c:ptCount val="13"/>
              </c:numCache>
            </c:numRef>
          </c:xVal>
          <c:yVal>
            <c:numRef>
              <c:f>VALIDO!$E$20:$E$32</c:f>
              <c:numCache>
                <c:formatCode>General</c:formatCode>
                <c:ptCount val="13"/>
              </c:numCache>
            </c:numRef>
          </c:yVal>
        </c:ser>
        <c:axId val="195215744"/>
        <c:axId val="195217664"/>
      </c:scatterChart>
      <c:valAx>
        <c:axId val="195215744"/>
        <c:scaling>
          <c:orientation val="minMax"/>
          <c:min val="25"/>
        </c:scaling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s-ES"/>
                  <a:t>dB nivel sonoro medido</a:t>
                </a:r>
              </a:p>
            </c:rich>
          </c:tx>
          <c:layout/>
        </c:title>
        <c:numFmt formatCode="General" sourceLinked="1"/>
        <c:tickLblPos val="nextTo"/>
        <c:crossAx val="195217664"/>
        <c:crosses val="autoZero"/>
        <c:crossBetween val="midCat"/>
      </c:valAx>
      <c:valAx>
        <c:axId val="195217664"/>
        <c:scaling>
          <c:orientation val="minMax"/>
          <c:min val="25"/>
        </c:scaling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s-ES"/>
                  <a:t>dB nivel sonoro real</a:t>
                </a:r>
              </a:p>
            </c:rich>
          </c:tx>
          <c:layout/>
        </c:title>
        <c:numFmt formatCode="General" sourceLinked="1"/>
        <c:tickLblPos val="nextTo"/>
        <c:crossAx val="195215744"/>
        <c:crosses val="autoZero"/>
        <c:crossBetween val="midCat"/>
      </c:valAx>
      <c:spPr>
        <a:ln>
          <a:noFill/>
        </a:ln>
      </c:spPr>
    </c:plotArea>
    <c:legend>
      <c:legendPos val="r"/>
      <c:layout>
        <c:manualLayout>
          <c:xMode val="edge"/>
          <c:yMode val="edge"/>
          <c:x val="0.84456834709332751"/>
          <c:y val="4.0102823372674956E-2"/>
          <c:w val="0.11801731680091673"/>
          <c:h val="0.11121102943312899"/>
        </c:manualLayout>
      </c:layout>
      <c:overlay val="1"/>
    </c:legend>
    <c:plotVisOnly val="1"/>
  </c:chart>
  <c:printSettings>
    <c:headerFooter/>
    <c:pageMargins b="0.75000000000000333" l="0.70000000000000062" r="0.70000000000000062" t="0.75000000000000333" header="0.30000000000000032" footer="0.3000000000000003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s-ES"/>
  <c:chart>
    <c:title>
      <c:tx>
        <c:rich>
          <a:bodyPr/>
          <a:lstStyle/>
          <a:p>
            <a:pPr>
              <a:defRPr/>
            </a:pPr>
            <a:r>
              <a:rPr lang="es-ES"/>
              <a:t>Ajuste serie teorica</a:t>
            </a:r>
            <a:r>
              <a:rPr lang="es-ES" baseline="0"/>
              <a:t> y simulada</a:t>
            </a:r>
            <a:endParaRPr lang="es-ES"/>
          </a:p>
        </c:rich>
      </c:tx>
      <c:layout>
        <c:manualLayout>
          <c:xMode val="edge"/>
          <c:yMode val="edge"/>
          <c:x val="0.28872294372294594"/>
          <c:y val="2.6929982046678635E-2"/>
        </c:manualLayout>
      </c:layout>
    </c:title>
    <c:plotArea>
      <c:layout>
        <c:manualLayout>
          <c:layoutTarget val="inner"/>
          <c:xMode val="edge"/>
          <c:yMode val="edge"/>
          <c:x val="0.10369288989882976"/>
          <c:y val="0.10591050439347255"/>
          <c:w val="0.86435804165419294"/>
          <c:h val="0.71085910456845391"/>
        </c:manualLayout>
      </c:layout>
      <c:scatterChart>
        <c:scatterStyle val="lineMarker"/>
        <c:ser>
          <c:idx val="0"/>
          <c:order val="0"/>
          <c:tx>
            <c:v>Medido</c:v>
          </c:tx>
          <c:spPr>
            <a:ln>
              <a:noFill/>
            </a:ln>
          </c:spPr>
          <c:xVal>
            <c:numRef>
              <c:f>VALIDO!$D$20:$D$32</c:f>
              <c:numCache>
                <c:formatCode>General</c:formatCode>
                <c:ptCount val="13"/>
              </c:numCache>
            </c:numRef>
          </c:xVal>
          <c:yVal>
            <c:numRef>
              <c:f>VALIDO!$F$20:$F$32</c:f>
              <c:numCache>
                <c:formatCode>General</c:formatCode>
                <c:ptCount val="13"/>
              </c:numCache>
            </c:numRef>
          </c:yVal>
        </c:ser>
        <c:ser>
          <c:idx val="1"/>
          <c:order val="1"/>
          <c:tx>
            <c:v>Teorico</c:v>
          </c:tx>
          <c:spPr>
            <a:ln>
              <a:noFill/>
            </a:ln>
          </c:spPr>
          <c:marker>
            <c:symbol val="x"/>
            <c:size val="7"/>
            <c:spPr>
              <a:noFill/>
            </c:spPr>
          </c:marker>
          <c:xVal>
            <c:numRef>
              <c:f>VALIDO!$C$20:$C$32</c:f>
              <c:numCache>
                <c:formatCode>General</c:formatCode>
                <c:ptCount val="13"/>
              </c:numCache>
            </c:numRef>
          </c:xVal>
          <c:yVal>
            <c:numRef>
              <c:f>VALIDO!$E$20:$E$32</c:f>
              <c:numCache>
                <c:formatCode>General</c:formatCode>
                <c:ptCount val="13"/>
              </c:numCache>
            </c:numRef>
          </c:yVal>
        </c:ser>
        <c:axId val="195586688"/>
        <c:axId val="195597440"/>
      </c:scatterChart>
      <c:valAx>
        <c:axId val="195586688"/>
        <c:scaling>
          <c:orientation val="minMax"/>
          <c:max val="9000"/>
        </c:scaling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s-ES"/>
                  <a:t>Frecuencia</a:t>
                </a:r>
              </a:p>
            </c:rich>
          </c:tx>
          <c:layout/>
        </c:title>
        <c:numFmt formatCode="General" sourceLinked="1"/>
        <c:tickLblPos val="nextTo"/>
        <c:crossAx val="195597440"/>
        <c:crosses val="autoZero"/>
        <c:crossBetween val="midCat"/>
      </c:valAx>
      <c:valAx>
        <c:axId val="195597440"/>
        <c:scaling>
          <c:orientation val="minMax"/>
          <c:min val="24"/>
        </c:scaling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s-ES"/>
                  <a:t>Nivel sonoro dB</a:t>
                </a:r>
              </a:p>
            </c:rich>
          </c:tx>
          <c:layout/>
        </c:title>
        <c:numFmt formatCode="General" sourceLinked="1"/>
        <c:tickLblPos val="nextTo"/>
        <c:crossAx val="195586688"/>
        <c:crosses val="autoZero"/>
        <c:crossBetween val="midCat"/>
      </c:valAx>
      <c:spPr>
        <a:ln>
          <a:noFill/>
        </a:ln>
      </c:spPr>
    </c:plotArea>
    <c:legend>
      <c:legendPos val="r"/>
      <c:layout>
        <c:manualLayout>
          <c:xMode val="edge"/>
          <c:yMode val="edge"/>
          <c:x val="0.84421890229500784"/>
          <c:y val="2.0868714940044278E-3"/>
          <c:w val="0.13334424106077691"/>
          <c:h val="0.1082161184071026"/>
        </c:manualLayout>
      </c:layout>
      <c:overlay val="1"/>
    </c:legend>
    <c:plotVisOnly val="1"/>
  </c:chart>
  <c:printSettings>
    <c:headerFooter/>
    <c:pageMargins b="0.75000000000000311" l="0.70000000000000062" r="0.70000000000000062" t="0.75000000000000311" header="0.30000000000000032" footer="0.30000000000000032"/>
    <c:pageSetup/>
  </c:printSettings>
</c:chartSpac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487680</xdr:colOff>
      <xdr:row>36</xdr:row>
      <xdr:rowOff>121920</xdr:rowOff>
    </xdr:from>
    <xdr:to>
      <xdr:col>21</xdr:col>
      <xdr:colOff>60960</xdr:colOff>
      <xdr:row>55</xdr:row>
      <xdr:rowOff>106680</xdr:rowOff>
    </xdr:to>
    <xdr:graphicFrame macro="">
      <xdr:nvGraphicFramePr>
        <xdr:cNvPr id="2" name="1 Gráfico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6</xdr:col>
      <xdr:colOff>243840</xdr:colOff>
      <xdr:row>36</xdr:row>
      <xdr:rowOff>114300</xdr:rowOff>
    </xdr:from>
    <xdr:to>
      <xdr:col>13</xdr:col>
      <xdr:colOff>373380</xdr:colOff>
      <xdr:row>55</xdr:row>
      <xdr:rowOff>160020</xdr:rowOff>
    </xdr:to>
    <xdr:graphicFrame macro="">
      <xdr:nvGraphicFramePr>
        <xdr:cNvPr id="3" name="2 Gráfico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144780</xdr:colOff>
      <xdr:row>36</xdr:row>
      <xdr:rowOff>144780</xdr:rowOff>
    </xdr:from>
    <xdr:to>
      <xdr:col>6</xdr:col>
      <xdr:colOff>106680</xdr:colOff>
      <xdr:row>55</xdr:row>
      <xdr:rowOff>167640</xdr:rowOff>
    </xdr:to>
    <xdr:graphicFrame macro="">
      <xdr:nvGraphicFramePr>
        <xdr:cNvPr id="4" name="3 Gráfico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Hoja4"/>
  <dimension ref="A1:AE35"/>
  <sheetViews>
    <sheetView tabSelected="1" workbookViewId="0">
      <selection activeCell="D8" sqref="D8"/>
    </sheetView>
  </sheetViews>
  <sheetFormatPr baseColWidth="10" defaultRowHeight="14.4"/>
  <cols>
    <col min="1" max="1" width="11.5546875" style="2"/>
    <col min="2" max="2" width="17.88671875" style="2" customWidth="1"/>
    <col min="3" max="3" width="15.5546875" style="2" customWidth="1"/>
    <col min="4" max="4" width="15.21875" style="2" customWidth="1"/>
    <col min="5" max="5" width="13.77734375" style="2" customWidth="1"/>
    <col min="6" max="6" width="14.21875" style="2" customWidth="1"/>
    <col min="7" max="18" width="11.5546875" style="2"/>
    <col min="19" max="19" width="18.33203125" style="2" customWidth="1"/>
    <col min="20" max="20" width="21.109375" style="2" customWidth="1"/>
    <col min="21" max="21" width="12.5546875" style="2" customWidth="1"/>
    <col min="22" max="22" width="21.21875" style="2" customWidth="1"/>
    <col min="23" max="24" width="15.77734375" style="2" customWidth="1"/>
    <col min="25" max="25" width="20.109375" style="2" customWidth="1"/>
    <col min="26" max="26" width="17.33203125" style="2" customWidth="1"/>
    <col min="27" max="27" width="21.88671875" style="2" customWidth="1"/>
    <col min="28" max="28" width="29.44140625" style="2" customWidth="1"/>
    <col min="29" max="29" width="29.21875" style="2" customWidth="1"/>
    <col min="30" max="31" width="25.5546875" style="2" customWidth="1"/>
    <col min="32" max="16384" width="11.5546875" style="2"/>
  </cols>
  <sheetData>
    <row r="1" spans="1:31" ht="43.2" customHeight="1">
      <c r="A1" s="90" t="s">
        <v>46</v>
      </c>
      <c r="B1" s="91"/>
      <c r="C1" s="24" t="s">
        <v>44</v>
      </c>
      <c r="D1" s="25"/>
      <c r="E1" s="25"/>
      <c r="F1" s="25"/>
      <c r="G1" s="25"/>
      <c r="H1" s="25"/>
      <c r="I1" s="25"/>
      <c r="J1" s="25"/>
      <c r="K1" s="25"/>
      <c r="L1" s="25"/>
      <c r="M1" s="26"/>
    </row>
    <row r="2" spans="1:31" ht="21.6" thickBot="1">
      <c r="A2" s="27"/>
      <c r="B2" s="28"/>
      <c r="C2" s="28"/>
      <c r="D2" s="28"/>
      <c r="E2" s="43" t="s">
        <v>45</v>
      </c>
      <c r="F2" s="28"/>
      <c r="G2" s="28"/>
      <c r="H2" s="28"/>
      <c r="I2" s="28"/>
      <c r="J2" s="28"/>
      <c r="K2" s="28"/>
      <c r="L2" s="28"/>
      <c r="M2" s="29"/>
    </row>
    <row r="3" spans="1:31" ht="14.4" customHeight="1">
      <c r="A3" s="92" t="s">
        <v>47</v>
      </c>
      <c r="B3" s="93"/>
      <c r="C3" s="93"/>
      <c r="D3" s="32"/>
      <c r="E3" s="32"/>
      <c r="F3" s="32"/>
      <c r="G3" s="32"/>
      <c r="H3" s="32"/>
      <c r="I3" s="32"/>
      <c r="J3" s="32"/>
      <c r="K3" s="32"/>
      <c r="L3" s="32"/>
      <c r="M3" s="33"/>
    </row>
    <row r="4" spans="1:31" ht="22.8" customHeight="1">
      <c r="A4" s="94"/>
      <c r="B4" s="95"/>
      <c r="C4" s="95"/>
      <c r="D4" s="34"/>
      <c r="E4" s="42" t="s">
        <v>48</v>
      </c>
      <c r="F4" s="34"/>
      <c r="G4" s="34"/>
      <c r="H4" s="34"/>
      <c r="I4" s="34"/>
      <c r="J4" s="34"/>
      <c r="K4" s="34"/>
      <c r="L4" s="34"/>
      <c r="M4" s="35"/>
    </row>
    <row r="5" spans="1:31" ht="16.2" customHeight="1">
      <c r="A5" s="42"/>
      <c r="B5" s="42"/>
      <c r="C5" s="42"/>
      <c r="D5" s="34"/>
      <c r="E5" s="42"/>
      <c r="F5" s="34"/>
      <c r="G5" s="34"/>
      <c r="H5" s="34"/>
      <c r="I5" s="34"/>
      <c r="J5" s="34"/>
      <c r="K5" s="34"/>
      <c r="L5" s="34"/>
      <c r="M5" s="35"/>
    </row>
    <row r="6" spans="1:31" ht="16.2" customHeight="1">
      <c r="A6" s="42"/>
      <c r="B6" s="42"/>
      <c r="C6" s="42"/>
      <c r="D6" s="121" t="s">
        <v>64</v>
      </c>
      <c r="E6" s="42"/>
      <c r="F6" s="34"/>
      <c r="G6" s="34"/>
      <c r="H6" s="34"/>
      <c r="I6" s="34"/>
      <c r="J6" s="34"/>
      <c r="K6" s="34"/>
      <c r="L6" s="34"/>
      <c r="M6" s="35"/>
    </row>
    <row r="7" spans="1:31" ht="15.6" customHeight="1">
      <c r="A7" s="42"/>
      <c r="B7" s="42"/>
      <c r="C7" s="42"/>
      <c r="D7" s="34"/>
      <c r="E7" s="42"/>
      <c r="F7" s="34"/>
      <c r="G7" s="34"/>
      <c r="H7" s="34"/>
      <c r="I7" s="34"/>
      <c r="J7" s="34"/>
      <c r="K7" s="34"/>
      <c r="L7" s="34"/>
      <c r="M7" s="35"/>
    </row>
    <row r="8" spans="1:31" ht="14.4" customHeight="1">
      <c r="A8" s="36"/>
      <c r="B8" s="31"/>
      <c r="C8" s="31"/>
      <c r="D8" s="85" t="s">
        <v>63</v>
      </c>
      <c r="E8" s="34"/>
      <c r="F8" s="34"/>
      <c r="G8" s="34"/>
      <c r="H8" s="34"/>
      <c r="I8" s="34"/>
      <c r="J8" s="34"/>
      <c r="K8" s="34"/>
      <c r="L8" s="34"/>
      <c r="M8" s="35"/>
    </row>
    <row r="9" spans="1:31" ht="25.2" customHeight="1" thickBot="1">
      <c r="A9" s="37"/>
      <c r="B9" s="38"/>
      <c r="C9" s="38"/>
      <c r="D9" s="122" t="s">
        <v>65</v>
      </c>
      <c r="E9" s="40"/>
      <c r="F9" s="39"/>
      <c r="G9" s="39"/>
      <c r="H9" s="39"/>
      <c r="I9" s="39"/>
      <c r="J9" s="39"/>
      <c r="K9" s="39"/>
      <c r="L9" s="39"/>
      <c r="M9" s="41"/>
    </row>
    <row r="10" spans="1:31" ht="14.4" customHeight="1">
      <c r="AB10" s="65"/>
    </row>
    <row r="11" spans="1:31" ht="25.8">
      <c r="A11" s="44" t="s">
        <v>2</v>
      </c>
      <c r="AB11" s="65"/>
      <c r="AD11" s="65"/>
      <c r="AE11" s="14" t="s">
        <v>32</v>
      </c>
    </row>
    <row r="12" spans="1:31" ht="14.4" customHeight="1">
      <c r="A12" s="1" t="s">
        <v>3</v>
      </c>
      <c r="AA12" s="13"/>
      <c r="AB12" s="65"/>
      <c r="AD12" s="65"/>
      <c r="AE12" s="106" t="s">
        <v>34</v>
      </c>
    </row>
    <row r="13" spans="1:31">
      <c r="A13" s="2" t="s">
        <v>9</v>
      </c>
      <c r="AB13" s="65"/>
      <c r="AD13" s="65"/>
      <c r="AE13" s="106"/>
    </row>
    <row r="14" spans="1:31" ht="14.4" customHeight="1">
      <c r="A14" s="2" t="s">
        <v>10</v>
      </c>
      <c r="X14" s="106" t="s">
        <v>42</v>
      </c>
      <c r="Y14" s="106" t="s">
        <v>31</v>
      </c>
      <c r="AD14" s="109" t="s">
        <v>51</v>
      </c>
      <c r="AE14" s="106"/>
    </row>
    <row r="15" spans="1:31" ht="14.4" customHeight="1">
      <c r="A15" s="2" t="s">
        <v>11</v>
      </c>
      <c r="B15" s="3"/>
      <c r="S15" s="106" t="s">
        <v>41</v>
      </c>
      <c r="V15" s="96" t="s">
        <v>50</v>
      </c>
      <c r="X15" s="106"/>
      <c r="Y15" s="106"/>
      <c r="AD15" s="109"/>
    </row>
    <row r="16" spans="1:31" ht="14.4" customHeight="1">
      <c r="A16" s="2" t="s">
        <v>12</v>
      </c>
      <c r="N16" s="107" t="s">
        <v>19</v>
      </c>
      <c r="O16" s="107"/>
      <c r="P16" s="107"/>
      <c r="Q16" s="107"/>
      <c r="S16" s="106"/>
      <c r="V16" s="97"/>
      <c r="W16" s="22"/>
      <c r="X16" s="106"/>
      <c r="Y16" s="106"/>
      <c r="AD16" s="109"/>
      <c r="AE16" s="15" t="s">
        <v>33</v>
      </c>
    </row>
    <row r="17" spans="1:31">
      <c r="N17" s="108">
        <f>1/100</f>
        <v>0.01</v>
      </c>
      <c r="O17" s="108"/>
      <c r="P17" s="108"/>
      <c r="Q17" s="108"/>
      <c r="S17" s="106"/>
      <c r="V17" s="75">
        <v>3</v>
      </c>
      <c r="W17" s="22"/>
      <c r="X17" s="106"/>
      <c r="Y17" s="106"/>
      <c r="AD17" s="109"/>
      <c r="AE17" s="76">
        <v>5</v>
      </c>
    </row>
    <row r="18" spans="1:31">
      <c r="C18" s="98" t="s">
        <v>4</v>
      </c>
      <c r="D18" s="98"/>
      <c r="E18" s="98"/>
      <c r="F18" s="98"/>
      <c r="H18" s="98" t="s">
        <v>14</v>
      </c>
      <c r="I18" s="99"/>
      <c r="J18" s="100" t="s">
        <v>13</v>
      </c>
      <c r="K18" s="98"/>
      <c r="L18" s="98"/>
      <c r="M18" s="98"/>
      <c r="N18" s="100" t="s">
        <v>16</v>
      </c>
      <c r="O18" s="98"/>
      <c r="P18" s="98"/>
      <c r="Q18" s="98"/>
      <c r="R18" s="100" t="s">
        <v>17</v>
      </c>
      <c r="S18" s="98"/>
      <c r="T18" s="98"/>
      <c r="U18" s="98"/>
      <c r="V18" s="98"/>
      <c r="W18" s="98"/>
      <c r="X18" s="98"/>
      <c r="Y18" s="98"/>
      <c r="Z18" s="98"/>
      <c r="AA18" s="98"/>
      <c r="AB18" s="98"/>
      <c r="AC18" s="99"/>
      <c r="AD18" s="100" t="s">
        <v>23</v>
      </c>
      <c r="AE18" s="98"/>
    </row>
    <row r="19" spans="1:31" ht="45" customHeight="1">
      <c r="A19" s="80"/>
      <c r="B19" s="5" t="s">
        <v>49</v>
      </c>
      <c r="C19" s="5" t="s">
        <v>5</v>
      </c>
      <c r="D19" s="5" t="s">
        <v>6</v>
      </c>
      <c r="E19" s="5" t="s">
        <v>7</v>
      </c>
      <c r="F19" s="5" t="s">
        <v>8</v>
      </c>
      <c r="H19" s="48" t="s">
        <v>0</v>
      </c>
      <c r="I19" s="49" t="s">
        <v>15</v>
      </c>
      <c r="J19" s="50" t="s">
        <v>18</v>
      </c>
      <c r="K19" s="105" t="s">
        <v>1</v>
      </c>
      <c r="L19" s="105"/>
      <c r="M19" s="49" t="s">
        <v>15</v>
      </c>
      <c r="N19" s="51" t="s">
        <v>43</v>
      </c>
      <c r="O19" s="105" t="s">
        <v>1</v>
      </c>
      <c r="P19" s="105"/>
      <c r="Q19" s="49" t="s">
        <v>15</v>
      </c>
      <c r="R19" s="51" t="s">
        <v>26</v>
      </c>
      <c r="S19" s="45" t="s">
        <v>40</v>
      </c>
      <c r="T19" s="52" t="s">
        <v>27</v>
      </c>
      <c r="U19" s="52" t="s">
        <v>20</v>
      </c>
      <c r="V19" s="52" t="s">
        <v>28</v>
      </c>
      <c r="W19" s="51" t="s">
        <v>29</v>
      </c>
      <c r="X19" s="45" t="s">
        <v>38</v>
      </c>
      <c r="Y19" s="45" t="s">
        <v>30</v>
      </c>
      <c r="Z19" s="45" t="s">
        <v>38</v>
      </c>
      <c r="AA19" s="45" t="s">
        <v>28</v>
      </c>
      <c r="AB19" s="53" t="s">
        <v>21</v>
      </c>
      <c r="AC19" s="49" t="s">
        <v>22</v>
      </c>
      <c r="AD19" s="54" t="s">
        <v>24</v>
      </c>
      <c r="AE19" s="52" t="s">
        <v>25</v>
      </c>
    </row>
    <row r="20" spans="1:31">
      <c r="A20" s="78">
        <v>1</v>
      </c>
      <c r="B20" s="46"/>
      <c r="C20" s="47"/>
      <c r="D20" s="47"/>
      <c r="E20" s="47"/>
      <c r="F20" s="47"/>
      <c r="H20" s="59">
        <v>2</v>
      </c>
      <c r="I20" s="12" t="str">
        <f t="shared" ref="I20" si="0">IF(ABS(E20-F20)&lt;H20, "SI", "NO")</f>
        <v>SI</v>
      </c>
      <c r="J20" s="7">
        <f>C20/6</f>
        <v>0</v>
      </c>
      <c r="K20" s="60">
        <f>C20+J20</f>
        <v>0</v>
      </c>
      <c r="L20" s="60">
        <f>C20-J20</f>
        <v>0</v>
      </c>
      <c r="M20" s="60" t="str">
        <f t="shared" ref="M20" si="1">IF(AND(D20&lt;K20, D20&gt;L20), "Si", "NO")</f>
        <v>NO</v>
      </c>
      <c r="N20" s="7" t="e">
        <f>InterpolarLineal(C20, 'Bandas criticas error'!$B$5:$B$28,'Bandas criticas error'!$C$5:$C$28)</f>
        <v>#N/A</v>
      </c>
      <c r="O20" s="60" t="e">
        <f>N20/2+C20</f>
        <v>#N/A</v>
      </c>
      <c r="P20" s="60" t="e">
        <f>C20-N20/2</f>
        <v>#N/A</v>
      </c>
      <c r="Q20" s="12" t="e">
        <f t="shared" ref="Q20" si="2">IF(AND(D20&lt;O20, D20&gt;P20), "Si", "NO")</f>
        <v>#N/A</v>
      </c>
      <c r="R20" s="16">
        <f>C20-D20</f>
        <v>0</v>
      </c>
      <c r="S20" s="62" t="e">
        <f t="shared" ref="S20" si="3">ABS(100*(R20)/J20)</f>
        <v>#DIV/0!</v>
      </c>
      <c r="T20" s="61" t="str">
        <f t="shared" ref="T20" si="4">IF(R20&gt;0,"Mas agudo el tinnitus", "Mas grave el tinnitus")</f>
        <v>Mas grave el tinnitus</v>
      </c>
      <c r="U20" s="12">
        <f t="shared" ref="U20" si="5">ABS(R20)-J20</f>
        <v>0</v>
      </c>
      <c r="V20" s="77" t="str">
        <f t="shared" ref="V20" si="6">IF(U20&gt;0,"Error humano predomina","Error tonal/6")</f>
        <v>Error tonal/6</v>
      </c>
      <c r="W20" s="63">
        <f>E20-F20</f>
        <v>0</v>
      </c>
      <c r="X20" s="62" t="e">
        <f>100*(1-(($V$17)/W20))</f>
        <v>#DIV/0!</v>
      </c>
      <c r="Y20" s="61" t="str">
        <f t="shared" ref="Y20" si="7">IF(W20&gt;0,"Se percibe por debajo", "Se percibe por encima")</f>
        <v>Se percibe por encima</v>
      </c>
      <c r="Z20" s="12">
        <f t="shared" ref="Z20" si="8">ABS(W20)-H20</f>
        <v>-2</v>
      </c>
      <c r="AA20" s="12" t="str">
        <f t="shared" ref="AA20" si="9">IF(Z20&gt;0,"Error humano predomina","Error sonoro")</f>
        <v>Error sonoro</v>
      </c>
      <c r="AB20" s="16" t="str">
        <f t="shared" ref="AB20" si="10">IF(U20&gt;0, "No se adapta, error humano","Dentro de los errores")</f>
        <v>Dentro de los errores</v>
      </c>
      <c r="AC20" s="17" t="str">
        <f t="shared" ref="AC20" si="11">IF(Z20&gt;0, "No se adapta, error humano","Dentro de los errores")</f>
        <v>Dentro de los errores</v>
      </c>
      <c r="AD20" s="63" t="str">
        <f t="shared" ref="AD20" si="12">IF(ABS(R20)&lt;J20, "Acepto", "No acepto")</f>
        <v>No acepto</v>
      </c>
      <c r="AE20" s="63" t="str">
        <f t="shared" ref="AE20" si="13">IF(ABS(W20)&lt;$AE$17, "Acepto","No valido")</f>
        <v>Acepto</v>
      </c>
    </row>
    <row r="21" spans="1:31">
      <c r="A21" s="78">
        <f>A20+1</f>
        <v>2</v>
      </c>
      <c r="B21" s="46"/>
      <c r="C21" s="47"/>
      <c r="D21" s="47"/>
      <c r="E21" s="47"/>
      <c r="F21" s="47"/>
      <c r="H21" s="6">
        <v>2</v>
      </c>
      <c r="I21" s="11" t="str">
        <f t="shared" ref="I21:I32" si="14">IF(ABS(E21-F21)&lt;H21, "SI", "NO")</f>
        <v>SI</v>
      </c>
      <c r="J21" s="8">
        <f>C21/6</f>
        <v>0</v>
      </c>
      <c r="K21" s="55">
        <f>C21+J21</f>
        <v>0</v>
      </c>
      <c r="L21" s="55">
        <f>C21-J21</f>
        <v>0</v>
      </c>
      <c r="M21" s="55" t="str">
        <f>IF(AND(D21&lt;K21, D21&gt;L21), "Si", "NO")</f>
        <v>NO</v>
      </c>
      <c r="N21" s="8" t="e">
        <f>InterpolarLineal(C21, 'Bandas criticas error'!$B$5:$B$28,'Bandas criticas error'!$C$5:$C$28)</f>
        <v>#N/A</v>
      </c>
      <c r="O21" s="55" t="e">
        <f>N21/2+C21</f>
        <v>#N/A</v>
      </c>
      <c r="P21" s="55" t="e">
        <f>C21-N21/2</f>
        <v>#N/A</v>
      </c>
      <c r="Q21" s="11" t="e">
        <f t="shared" ref="Q21:Q32" si="15">IF(AND(D21&lt;O21, D21&gt;P21), "Si", "NO")</f>
        <v>#N/A</v>
      </c>
      <c r="R21" s="64">
        <f>C21-D21</f>
        <v>0</v>
      </c>
      <c r="S21" s="57" t="e">
        <f t="shared" ref="S21:S32" si="16">ABS(100*(R21)/J21)</f>
        <v>#DIV/0!</v>
      </c>
      <c r="T21" s="56" t="str">
        <f t="shared" ref="T21:T32" si="17">IF(R21&gt;0,"Mas agudo el tinnitus", "Mas grave el tinnitus")</f>
        <v>Mas grave el tinnitus</v>
      </c>
      <c r="U21" s="11">
        <f t="shared" ref="U21:U32" si="18">ABS(R21)-J21</f>
        <v>0</v>
      </c>
      <c r="V21" s="78" t="str">
        <f t="shared" ref="V21:V32" si="19">IF(U21&gt;0,"Error humano predomina","Error tonal/6")</f>
        <v>Error tonal/6</v>
      </c>
      <c r="W21" s="58">
        <f t="shared" ref="W21:W32" si="20">E21-F21</f>
        <v>0</v>
      </c>
      <c r="X21" s="57" t="e">
        <f t="shared" ref="X21:X32" si="21">100*(1-(($V$17)/W21))</f>
        <v>#DIV/0!</v>
      </c>
      <c r="Y21" s="56" t="str">
        <f t="shared" ref="Y21:Y32" si="22">IF(W21&gt;0,"Se percibe por debajo", "Se percibe por encima")</f>
        <v>Se percibe por encima</v>
      </c>
      <c r="Z21" s="11">
        <f t="shared" ref="Z21:Z32" si="23">ABS(W21)-H21</f>
        <v>-2</v>
      </c>
      <c r="AA21" s="11" t="str">
        <f t="shared" ref="AA21:AA32" si="24">IF(Z21&gt;0,"Error humano predomina","Error sonoro")</f>
        <v>Error sonoro</v>
      </c>
      <c r="AB21" s="64" t="str">
        <f t="shared" ref="AB21:AB32" si="25">IF(U21&gt;0, "No se adapta, error humano","Dentro de los errores")</f>
        <v>Dentro de los errores</v>
      </c>
      <c r="AC21" s="79" t="str">
        <f t="shared" ref="AC21:AC32" si="26">IF(Z21&gt;0, "No se adapta, error humano","Dentro de los errores")</f>
        <v>Dentro de los errores</v>
      </c>
      <c r="AD21" s="58" t="str">
        <f t="shared" ref="AD21:AD32" si="27">IF(ABS(R21)&lt;J21, "Acepto", "No acepto")</f>
        <v>No acepto</v>
      </c>
      <c r="AE21" s="58" t="str">
        <f t="shared" ref="AE21:AE32" si="28">IF(ABS(W21)&lt;$AE$17, "Acepto","No valido")</f>
        <v>Acepto</v>
      </c>
    </row>
    <row r="22" spans="1:31">
      <c r="A22" s="78">
        <f t="shared" ref="A22:A32" si="29">A21+1</f>
        <v>3</v>
      </c>
      <c r="B22" s="46"/>
      <c r="C22" s="47"/>
      <c r="D22" s="47"/>
      <c r="E22" s="47"/>
      <c r="F22" s="47"/>
      <c r="H22" s="6">
        <v>2</v>
      </c>
      <c r="I22" s="11" t="str">
        <f t="shared" si="14"/>
        <v>SI</v>
      </c>
      <c r="J22" s="8">
        <f t="shared" ref="J21:J32" si="30">C22/6</f>
        <v>0</v>
      </c>
      <c r="K22" s="55">
        <f t="shared" ref="K21:K32" si="31">C22+J22</f>
        <v>0</v>
      </c>
      <c r="L22" s="55">
        <f t="shared" ref="L21:L32" si="32">C22-J22</f>
        <v>0</v>
      </c>
      <c r="M22" s="55" t="str">
        <f t="shared" ref="M22:M32" si="33">IF(AND(D22&lt;K22, D22&gt;L22), "Si", "NO")</f>
        <v>NO</v>
      </c>
      <c r="N22" s="8" t="e">
        <f>InterpolarLineal(C22, 'Bandas criticas error'!$B$5:$B$28,'Bandas criticas error'!$C$5:$C$28)</f>
        <v>#N/A</v>
      </c>
      <c r="O22" s="55" t="e">
        <f t="shared" ref="O21:O32" si="34">N22/2+C22</f>
        <v>#N/A</v>
      </c>
      <c r="P22" s="55" t="e">
        <f t="shared" ref="P21:P32" si="35">C22-N22/2</f>
        <v>#N/A</v>
      </c>
      <c r="Q22" s="11" t="e">
        <f t="shared" si="15"/>
        <v>#N/A</v>
      </c>
      <c r="R22" s="64">
        <f t="shared" ref="R21:R32" si="36">C22-D22</f>
        <v>0</v>
      </c>
      <c r="S22" s="57" t="e">
        <f t="shared" si="16"/>
        <v>#DIV/0!</v>
      </c>
      <c r="T22" s="56" t="str">
        <f t="shared" si="17"/>
        <v>Mas grave el tinnitus</v>
      </c>
      <c r="U22" s="11">
        <f t="shared" si="18"/>
        <v>0</v>
      </c>
      <c r="V22" s="78" t="str">
        <f t="shared" si="19"/>
        <v>Error tonal/6</v>
      </c>
      <c r="W22" s="58">
        <f t="shared" si="20"/>
        <v>0</v>
      </c>
      <c r="X22" s="57" t="e">
        <f t="shared" si="21"/>
        <v>#DIV/0!</v>
      </c>
      <c r="Y22" s="56" t="str">
        <f t="shared" si="22"/>
        <v>Se percibe por encima</v>
      </c>
      <c r="Z22" s="11">
        <f t="shared" si="23"/>
        <v>-2</v>
      </c>
      <c r="AA22" s="11" t="str">
        <f t="shared" si="24"/>
        <v>Error sonoro</v>
      </c>
      <c r="AB22" s="64" t="str">
        <f t="shared" si="25"/>
        <v>Dentro de los errores</v>
      </c>
      <c r="AC22" s="79" t="str">
        <f t="shared" si="26"/>
        <v>Dentro de los errores</v>
      </c>
      <c r="AD22" s="58" t="str">
        <f t="shared" si="27"/>
        <v>No acepto</v>
      </c>
      <c r="AE22" s="58" t="str">
        <f t="shared" si="28"/>
        <v>Acepto</v>
      </c>
    </row>
    <row r="23" spans="1:31">
      <c r="A23" s="78">
        <f t="shared" si="29"/>
        <v>4</v>
      </c>
      <c r="B23" s="46"/>
      <c r="C23" s="47"/>
      <c r="D23" s="47"/>
      <c r="E23" s="47"/>
      <c r="F23" s="47"/>
      <c r="H23" s="6">
        <v>2</v>
      </c>
      <c r="I23" s="11" t="str">
        <f t="shared" si="14"/>
        <v>SI</v>
      </c>
      <c r="J23" s="8">
        <f t="shared" si="30"/>
        <v>0</v>
      </c>
      <c r="K23" s="55">
        <f t="shared" si="31"/>
        <v>0</v>
      </c>
      <c r="L23" s="55">
        <f t="shared" si="32"/>
        <v>0</v>
      </c>
      <c r="M23" s="55" t="str">
        <f t="shared" si="33"/>
        <v>NO</v>
      </c>
      <c r="N23" s="8" t="e">
        <f>InterpolarLineal(C23, 'Bandas criticas error'!$B$5:$B$28,'Bandas criticas error'!$C$5:$C$28)</f>
        <v>#N/A</v>
      </c>
      <c r="O23" s="55" t="e">
        <f t="shared" si="34"/>
        <v>#N/A</v>
      </c>
      <c r="P23" s="55" t="e">
        <f t="shared" si="35"/>
        <v>#N/A</v>
      </c>
      <c r="Q23" s="11" t="e">
        <f t="shared" si="15"/>
        <v>#N/A</v>
      </c>
      <c r="R23" s="64">
        <f t="shared" si="36"/>
        <v>0</v>
      </c>
      <c r="S23" s="57" t="e">
        <f t="shared" si="16"/>
        <v>#DIV/0!</v>
      </c>
      <c r="T23" s="56" t="str">
        <f t="shared" si="17"/>
        <v>Mas grave el tinnitus</v>
      </c>
      <c r="U23" s="11">
        <f t="shared" si="18"/>
        <v>0</v>
      </c>
      <c r="V23" s="78" t="str">
        <f t="shared" si="19"/>
        <v>Error tonal/6</v>
      </c>
      <c r="W23" s="58">
        <f t="shared" si="20"/>
        <v>0</v>
      </c>
      <c r="X23" s="57" t="e">
        <f t="shared" si="21"/>
        <v>#DIV/0!</v>
      </c>
      <c r="Y23" s="56" t="str">
        <f t="shared" si="22"/>
        <v>Se percibe por encima</v>
      </c>
      <c r="Z23" s="11">
        <f t="shared" si="23"/>
        <v>-2</v>
      </c>
      <c r="AA23" s="11" t="str">
        <f t="shared" si="24"/>
        <v>Error sonoro</v>
      </c>
      <c r="AB23" s="64" t="str">
        <f t="shared" si="25"/>
        <v>Dentro de los errores</v>
      </c>
      <c r="AC23" s="79" t="str">
        <f t="shared" si="26"/>
        <v>Dentro de los errores</v>
      </c>
      <c r="AD23" s="58" t="str">
        <f t="shared" si="27"/>
        <v>No acepto</v>
      </c>
      <c r="AE23" s="58" t="str">
        <f t="shared" si="28"/>
        <v>Acepto</v>
      </c>
    </row>
    <row r="24" spans="1:31">
      <c r="A24" s="78">
        <f t="shared" si="29"/>
        <v>5</v>
      </c>
      <c r="B24" s="46"/>
      <c r="C24" s="47"/>
      <c r="D24" s="47"/>
      <c r="E24" s="47"/>
      <c r="F24" s="47"/>
      <c r="H24" s="6">
        <v>2</v>
      </c>
      <c r="I24" s="11" t="str">
        <f t="shared" si="14"/>
        <v>SI</v>
      </c>
      <c r="J24" s="8">
        <f t="shared" si="30"/>
        <v>0</v>
      </c>
      <c r="K24" s="55">
        <f t="shared" si="31"/>
        <v>0</v>
      </c>
      <c r="L24" s="55">
        <f t="shared" si="32"/>
        <v>0</v>
      </c>
      <c r="M24" s="55" t="str">
        <f t="shared" si="33"/>
        <v>NO</v>
      </c>
      <c r="N24" s="8" t="e">
        <f>InterpolarLineal(C24, 'Bandas criticas error'!$B$5:$B$28,'Bandas criticas error'!$C$5:$C$28)</f>
        <v>#N/A</v>
      </c>
      <c r="O24" s="55" t="e">
        <f t="shared" si="34"/>
        <v>#N/A</v>
      </c>
      <c r="P24" s="55" t="e">
        <f t="shared" si="35"/>
        <v>#N/A</v>
      </c>
      <c r="Q24" s="11" t="e">
        <f t="shared" si="15"/>
        <v>#N/A</v>
      </c>
      <c r="R24" s="64">
        <f t="shared" si="36"/>
        <v>0</v>
      </c>
      <c r="S24" s="57" t="e">
        <f t="shared" si="16"/>
        <v>#DIV/0!</v>
      </c>
      <c r="T24" s="56" t="str">
        <f t="shared" si="17"/>
        <v>Mas grave el tinnitus</v>
      </c>
      <c r="U24" s="11">
        <f t="shared" si="18"/>
        <v>0</v>
      </c>
      <c r="V24" s="78" t="str">
        <f t="shared" si="19"/>
        <v>Error tonal/6</v>
      </c>
      <c r="W24" s="58">
        <f t="shared" si="20"/>
        <v>0</v>
      </c>
      <c r="X24" s="57" t="e">
        <f t="shared" si="21"/>
        <v>#DIV/0!</v>
      </c>
      <c r="Y24" s="56" t="str">
        <f t="shared" si="22"/>
        <v>Se percibe por encima</v>
      </c>
      <c r="Z24" s="11">
        <f t="shared" si="23"/>
        <v>-2</v>
      </c>
      <c r="AA24" s="11" t="str">
        <f t="shared" si="24"/>
        <v>Error sonoro</v>
      </c>
      <c r="AB24" s="64" t="str">
        <f t="shared" si="25"/>
        <v>Dentro de los errores</v>
      </c>
      <c r="AC24" s="79" t="str">
        <f t="shared" si="26"/>
        <v>Dentro de los errores</v>
      </c>
      <c r="AD24" s="58" t="str">
        <f t="shared" si="27"/>
        <v>No acepto</v>
      </c>
      <c r="AE24" s="58" t="str">
        <f t="shared" si="28"/>
        <v>Acepto</v>
      </c>
    </row>
    <row r="25" spans="1:31">
      <c r="A25" s="78">
        <f t="shared" si="29"/>
        <v>6</v>
      </c>
      <c r="B25" s="46"/>
      <c r="C25" s="47"/>
      <c r="D25" s="47"/>
      <c r="E25" s="47"/>
      <c r="F25" s="47"/>
      <c r="H25" s="6">
        <v>2</v>
      </c>
      <c r="I25" s="11" t="str">
        <f t="shared" si="14"/>
        <v>SI</v>
      </c>
      <c r="J25" s="8">
        <f t="shared" si="30"/>
        <v>0</v>
      </c>
      <c r="K25" s="55">
        <f t="shared" si="31"/>
        <v>0</v>
      </c>
      <c r="L25" s="55">
        <f t="shared" si="32"/>
        <v>0</v>
      </c>
      <c r="M25" s="55" t="str">
        <f t="shared" si="33"/>
        <v>NO</v>
      </c>
      <c r="N25" s="8" t="e">
        <f>InterpolarLineal(C25, 'Bandas criticas error'!$B$5:$B$28,'Bandas criticas error'!$C$5:$C$28)</f>
        <v>#N/A</v>
      </c>
      <c r="O25" s="55" t="e">
        <f t="shared" si="34"/>
        <v>#N/A</v>
      </c>
      <c r="P25" s="55" t="e">
        <f t="shared" si="35"/>
        <v>#N/A</v>
      </c>
      <c r="Q25" s="11" t="e">
        <f t="shared" si="15"/>
        <v>#N/A</v>
      </c>
      <c r="R25" s="64">
        <f t="shared" si="36"/>
        <v>0</v>
      </c>
      <c r="S25" s="57" t="e">
        <f t="shared" si="16"/>
        <v>#DIV/0!</v>
      </c>
      <c r="T25" s="56" t="str">
        <f t="shared" si="17"/>
        <v>Mas grave el tinnitus</v>
      </c>
      <c r="U25" s="11">
        <f t="shared" si="18"/>
        <v>0</v>
      </c>
      <c r="V25" s="78" t="str">
        <f t="shared" si="19"/>
        <v>Error tonal/6</v>
      </c>
      <c r="W25" s="58">
        <f t="shared" si="20"/>
        <v>0</v>
      </c>
      <c r="X25" s="57" t="e">
        <f t="shared" si="21"/>
        <v>#DIV/0!</v>
      </c>
      <c r="Y25" s="56" t="str">
        <f t="shared" si="22"/>
        <v>Se percibe por encima</v>
      </c>
      <c r="Z25" s="11">
        <f t="shared" si="23"/>
        <v>-2</v>
      </c>
      <c r="AA25" s="11" t="str">
        <f t="shared" si="24"/>
        <v>Error sonoro</v>
      </c>
      <c r="AB25" s="64" t="str">
        <f t="shared" si="25"/>
        <v>Dentro de los errores</v>
      </c>
      <c r="AC25" s="79" t="str">
        <f t="shared" si="26"/>
        <v>Dentro de los errores</v>
      </c>
      <c r="AD25" s="58" t="str">
        <f t="shared" si="27"/>
        <v>No acepto</v>
      </c>
      <c r="AE25" s="58" t="str">
        <f t="shared" si="28"/>
        <v>Acepto</v>
      </c>
    </row>
    <row r="26" spans="1:31">
      <c r="A26" s="78">
        <f t="shared" si="29"/>
        <v>7</v>
      </c>
      <c r="B26" s="46"/>
      <c r="C26" s="47"/>
      <c r="D26" s="47"/>
      <c r="E26" s="47"/>
      <c r="F26" s="47"/>
      <c r="H26" s="6">
        <v>2</v>
      </c>
      <c r="I26" s="11" t="str">
        <f t="shared" si="14"/>
        <v>SI</v>
      </c>
      <c r="J26" s="8">
        <f t="shared" si="30"/>
        <v>0</v>
      </c>
      <c r="K26" s="55">
        <f t="shared" si="31"/>
        <v>0</v>
      </c>
      <c r="L26" s="55">
        <f t="shared" si="32"/>
        <v>0</v>
      </c>
      <c r="M26" s="55" t="str">
        <f t="shared" si="33"/>
        <v>NO</v>
      </c>
      <c r="N26" s="8" t="e">
        <f>InterpolarLineal(C26, 'Bandas criticas error'!$B$5:$B$28,'Bandas criticas error'!$C$5:$C$28)</f>
        <v>#N/A</v>
      </c>
      <c r="O26" s="55" t="e">
        <f t="shared" si="34"/>
        <v>#N/A</v>
      </c>
      <c r="P26" s="55" t="e">
        <f t="shared" si="35"/>
        <v>#N/A</v>
      </c>
      <c r="Q26" s="11" t="e">
        <f t="shared" si="15"/>
        <v>#N/A</v>
      </c>
      <c r="R26" s="64">
        <f t="shared" si="36"/>
        <v>0</v>
      </c>
      <c r="S26" s="57" t="e">
        <f t="shared" si="16"/>
        <v>#DIV/0!</v>
      </c>
      <c r="T26" s="56" t="str">
        <f t="shared" si="17"/>
        <v>Mas grave el tinnitus</v>
      </c>
      <c r="U26" s="11">
        <f t="shared" si="18"/>
        <v>0</v>
      </c>
      <c r="V26" s="78" t="str">
        <f t="shared" si="19"/>
        <v>Error tonal/6</v>
      </c>
      <c r="W26" s="58">
        <f t="shared" si="20"/>
        <v>0</v>
      </c>
      <c r="X26" s="57" t="e">
        <f t="shared" si="21"/>
        <v>#DIV/0!</v>
      </c>
      <c r="Y26" s="56" t="str">
        <f t="shared" si="22"/>
        <v>Se percibe por encima</v>
      </c>
      <c r="Z26" s="11">
        <f t="shared" si="23"/>
        <v>-2</v>
      </c>
      <c r="AA26" s="11" t="str">
        <f t="shared" si="24"/>
        <v>Error sonoro</v>
      </c>
      <c r="AB26" s="64" t="str">
        <f t="shared" si="25"/>
        <v>Dentro de los errores</v>
      </c>
      <c r="AC26" s="79" t="str">
        <f t="shared" si="26"/>
        <v>Dentro de los errores</v>
      </c>
      <c r="AD26" s="58" t="str">
        <f t="shared" si="27"/>
        <v>No acepto</v>
      </c>
      <c r="AE26" s="58" t="str">
        <f t="shared" si="28"/>
        <v>Acepto</v>
      </c>
    </row>
    <row r="27" spans="1:31">
      <c r="A27" s="78">
        <f t="shared" si="29"/>
        <v>8</v>
      </c>
      <c r="B27" s="46"/>
      <c r="C27" s="47"/>
      <c r="D27" s="47"/>
      <c r="E27" s="47"/>
      <c r="F27" s="47"/>
      <c r="H27" s="6">
        <v>2</v>
      </c>
      <c r="I27" s="11" t="str">
        <f t="shared" si="14"/>
        <v>SI</v>
      </c>
      <c r="J27" s="8">
        <f t="shared" si="30"/>
        <v>0</v>
      </c>
      <c r="K27" s="55">
        <f t="shared" si="31"/>
        <v>0</v>
      </c>
      <c r="L27" s="55">
        <f t="shared" si="32"/>
        <v>0</v>
      </c>
      <c r="M27" s="55" t="str">
        <f t="shared" si="33"/>
        <v>NO</v>
      </c>
      <c r="N27" s="8" t="e">
        <f>InterpolarLineal(C27, 'Bandas criticas error'!$B$5:$B$28,'Bandas criticas error'!$C$5:$C$28)</f>
        <v>#N/A</v>
      </c>
      <c r="O27" s="55" t="e">
        <f t="shared" si="34"/>
        <v>#N/A</v>
      </c>
      <c r="P27" s="55" t="e">
        <f t="shared" si="35"/>
        <v>#N/A</v>
      </c>
      <c r="Q27" s="11" t="e">
        <f t="shared" si="15"/>
        <v>#N/A</v>
      </c>
      <c r="R27" s="64">
        <f t="shared" si="36"/>
        <v>0</v>
      </c>
      <c r="S27" s="57" t="e">
        <f t="shared" si="16"/>
        <v>#DIV/0!</v>
      </c>
      <c r="T27" s="56" t="str">
        <f t="shared" si="17"/>
        <v>Mas grave el tinnitus</v>
      </c>
      <c r="U27" s="11">
        <f t="shared" si="18"/>
        <v>0</v>
      </c>
      <c r="V27" s="78" t="str">
        <f t="shared" si="19"/>
        <v>Error tonal/6</v>
      </c>
      <c r="W27" s="58">
        <f t="shared" si="20"/>
        <v>0</v>
      </c>
      <c r="X27" s="57" t="e">
        <f t="shared" si="21"/>
        <v>#DIV/0!</v>
      </c>
      <c r="Y27" s="56" t="str">
        <f t="shared" si="22"/>
        <v>Se percibe por encima</v>
      </c>
      <c r="Z27" s="11">
        <f t="shared" si="23"/>
        <v>-2</v>
      </c>
      <c r="AA27" s="11" t="str">
        <f t="shared" si="24"/>
        <v>Error sonoro</v>
      </c>
      <c r="AB27" s="64" t="str">
        <f t="shared" si="25"/>
        <v>Dentro de los errores</v>
      </c>
      <c r="AC27" s="79" t="str">
        <f t="shared" si="26"/>
        <v>Dentro de los errores</v>
      </c>
      <c r="AD27" s="58" t="str">
        <f t="shared" si="27"/>
        <v>No acepto</v>
      </c>
      <c r="AE27" s="58" t="str">
        <f t="shared" si="28"/>
        <v>Acepto</v>
      </c>
    </row>
    <row r="28" spans="1:31">
      <c r="A28" s="78">
        <f t="shared" si="29"/>
        <v>9</v>
      </c>
      <c r="B28" s="46"/>
      <c r="C28" s="47"/>
      <c r="D28" s="47"/>
      <c r="E28" s="47"/>
      <c r="F28" s="47"/>
      <c r="H28" s="6">
        <v>2</v>
      </c>
      <c r="I28" s="11" t="str">
        <f t="shared" si="14"/>
        <v>SI</v>
      </c>
      <c r="J28" s="8">
        <f t="shared" si="30"/>
        <v>0</v>
      </c>
      <c r="K28" s="55">
        <f t="shared" si="31"/>
        <v>0</v>
      </c>
      <c r="L28" s="55">
        <f t="shared" si="32"/>
        <v>0</v>
      </c>
      <c r="M28" s="55" t="str">
        <f t="shared" si="33"/>
        <v>NO</v>
      </c>
      <c r="N28" s="8" t="e">
        <f>InterpolarLineal(C28, 'Bandas criticas error'!$B$5:$B$28,'Bandas criticas error'!$C$5:$C$28)</f>
        <v>#N/A</v>
      </c>
      <c r="O28" s="55" t="e">
        <f t="shared" si="34"/>
        <v>#N/A</v>
      </c>
      <c r="P28" s="55" t="e">
        <f t="shared" si="35"/>
        <v>#N/A</v>
      </c>
      <c r="Q28" s="11" t="e">
        <f t="shared" si="15"/>
        <v>#N/A</v>
      </c>
      <c r="R28" s="64">
        <f t="shared" si="36"/>
        <v>0</v>
      </c>
      <c r="S28" s="57" t="e">
        <f t="shared" si="16"/>
        <v>#DIV/0!</v>
      </c>
      <c r="T28" s="56" t="str">
        <f t="shared" si="17"/>
        <v>Mas grave el tinnitus</v>
      </c>
      <c r="U28" s="11">
        <f t="shared" si="18"/>
        <v>0</v>
      </c>
      <c r="V28" s="78" t="str">
        <f t="shared" si="19"/>
        <v>Error tonal/6</v>
      </c>
      <c r="W28" s="58">
        <f t="shared" si="20"/>
        <v>0</v>
      </c>
      <c r="X28" s="57" t="e">
        <f t="shared" si="21"/>
        <v>#DIV/0!</v>
      </c>
      <c r="Y28" s="56" t="str">
        <f t="shared" si="22"/>
        <v>Se percibe por encima</v>
      </c>
      <c r="Z28" s="11">
        <f t="shared" si="23"/>
        <v>-2</v>
      </c>
      <c r="AA28" s="11" t="str">
        <f t="shared" si="24"/>
        <v>Error sonoro</v>
      </c>
      <c r="AB28" s="64" t="str">
        <f t="shared" si="25"/>
        <v>Dentro de los errores</v>
      </c>
      <c r="AC28" s="79" t="str">
        <f t="shared" si="26"/>
        <v>Dentro de los errores</v>
      </c>
      <c r="AD28" s="58" t="str">
        <f t="shared" si="27"/>
        <v>No acepto</v>
      </c>
      <c r="AE28" s="58" t="str">
        <f t="shared" si="28"/>
        <v>Acepto</v>
      </c>
    </row>
    <row r="29" spans="1:31">
      <c r="A29" s="78">
        <f t="shared" si="29"/>
        <v>10</v>
      </c>
      <c r="B29" s="46"/>
      <c r="C29" s="47"/>
      <c r="D29" s="47"/>
      <c r="E29" s="47"/>
      <c r="F29" s="47"/>
      <c r="H29" s="6">
        <v>2</v>
      </c>
      <c r="I29" s="11" t="str">
        <f t="shared" si="14"/>
        <v>SI</v>
      </c>
      <c r="J29" s="8">
        <f t="shared" si="30"/>
        <v>0</v>
      </c>
      <c r="K29" s="55">
        <f t="shared" si="31"/>
        <v>0</v>
      </c>
      <c r="L29" s="55">
        <f t="shared" si="32"/>
        <v>0</v>
      </c>
      <c r="M29" s="55" t="str">
        <f t="shared" si="33"/>
        <v>NO</v>
      </c>
      <c r="N29" s="8" t="e">
        <f>InterpolarLineal(C29, 'Bandas criticas error'!$B$5:$B$28,'Bandas criticas error'!$C$5:$C$28)</f>
        <v>#N/A</v>
      </c>
      <c r="O29" s="55" t="e">
        <f t="shared" si="34"/>
        <v>#N/A</v>
      </c>
      <c r="P29" s="55" t="e">
        <f t="shared" si="35"/>
        <v>#N/A</v>
      </c>
      <c r="Q29" s="11" t="e">
        <f t="shared" si="15"/>
        <v>#N/A</v>
      </c>
      <c r="R29" s="64">
        <f t="shared" si="36"/>
        <v>0</v>
      </c>
      <c r="S29" s="57" t="e">
        <f t="shared" si="16"/>
        <v>#DIV/0!</v>
      </c>
      <c r="T29" s="56" t="str">
        <f t="shared" si="17"/>
        <v>Mas grave el tinnitus</v>
      </c>
      <c r="U29" s="11">
        <f t="shared" si="18"/>
        <v>0</v>
      </c>
      <c r="V29" s="78" t="str">
        <f t="shared" si="19"/>
        <v>Error tonal/6</v>
      </c>
      <c r="W29" s="58">
        <f t="shared" si="20"/>
        <v>0</v>
      </c>
      <c r="X29" s="57" t="e">
        <f t="shared" si="21"/>
        <v>#DIV/0!</v>
      </c>
      <c r="Y29" s="56" t="str">
        <f t="shared" si="22"/>
        <v>Se percibe por encima</v>
      </c>
      <c r="Z29" s="11">
        <f t="shared" si="23"/>
        <v>-2</v>
      </c>
      <c r="AA29" s="11" t="str">
        <f t="shared" si="24"/>
        <v>Error sonoro</v>
      </c>
      <c r="AB29" s="64" t="str">
        <f t="shared" si="25"/>
        <v>Dentro de los errores</v>
      </c>
      <c r="AC29" s="79" t="str">
        <f t="shared" si="26"/>
        <v>Dentro de los errores</v>
      </c>
      <c r="AD29" s="58" t="str">
        <f t="shared" si="27"/>
        <v>No acepto</v>
      </c>
      <c r="AE29" s="58" t="str">
        <f t="shared" si="28"/>
        <v>Acepto</v>
      </c>
    </row>
    <row r="30" spans="1:31">
      <c r="A30" s="78">
        <f t="shared" si="29"/>
        <v>11</v>
      </c>
      <c r="B30" s="46"/>
      <c r="C30" s="47"/>
      <c r="D30" s="47"/>
      <c r="E30" s="47"/>
      <c r="F30" s="47"/>
      <c r="H30" s="6">
        <v>2</v>
      </c>
      <c r="I30" s="11" t="str">
        <f t="shared" si="14"/>
        <v>SI</v>
      </c>
      <c r="J30" s="8">
        <f t="shared" si="30"/>
        <v>0</v>
      </c>
      <c r="K30" s="55">
        <f t="shared" si="31"/>
        <v>0</v>
      </c>
      <c r="L30" s="55">
        <f t="shared" si="32"/>
        <v>0</v>
      </c>
      <c r="M30" s="55" t="str">
        <f t="shared" si="33"/>
        <v>NO</v>
      </c>
      <c r="N30" s="8" t="e">
        <f>InterpolarLineal(C30, 'Bandas criticas error'!$B$5:$B$28,'Bandas criticas error'!$C$5:$C$28)</f>
        <v>#N/A</v>
      </c>
      <c r="O30" s="55" t="e">
        <f t="shared" si="34"/>
        <v>#N/A</v>
      </c>
      <c r="P30" s="55" t="e">
        <f t="shared" si="35"/>
        <v>#N/A</v>
      </c>
      <c r="Q30" s="11" t="e">
        <f t="shared" si="15"/>
        <v>#N/A</v>
      </c>
      <c r="R30" s="64">
        <f t="shared" si="36"/>
        <v>0</v>
      </c>
      <c r="S30" s="57" t="e">
        <f t="shared" si="16"/>
        <v>#DIV/0!</v>
      </c>
      <c r="T30" s="56" t="str">
        <f t="shared" si="17"/>
        <v>Mas grave el tinnitus</v>
      </c>
      <c r="U30" s="11">
        <f t="shared" si="18"/>
        <v>0</v>
      </c>
      <c r="V30" s="78" t="str">
        <f t="shared" si="19"/>
        <v>Error tonal/6</v>
      </c>
      <c r="W30" s="58">
        <f t="shared" si="20"/>
        <v>0</v>
      </c>
      <c r="X30" s="57" t="e">
        <f t="shared" si="21"/>
        <v>#DIV/0!</v>
      </c>
      <c r="Y30" s="56" t="str">
        <f t="shared" si="22"/>
        <v>Se percibe por encima</v>
      </c>
      <c r="Z30" s="11">
        <f t="shared" si="23"/>
        <v>-2</v>
      </c>
      <c r="AA30" s="11" t="str">
        <f t="shared" si="24"/>
        <v>Error sonoro</v>
      </c>
      <c r="AB30" s="64" t="str">
        <f t="shared" si="25"/>
        <v>Dentro de los errores</v>
      </c>
      <c r="AC30" s="79" t="str">
        <f t="shared" si="26"/>
        <v>Dentro de los errores</v>
      </c>
      <c r="AD30" s="58" t="str">
        <f t="shared" si="27"/>
        <v>No acepto</v>
      </c>
      <c r="AE30" s="58" t="str">
        <f t="shared" si="28"/>
        <v>Acepto</v>
      </c>
    </row>
    <row r="31" spans="1:31" ht="13.2" customHeight="1">
      <c r="A31" s="78">
        <f t="shared" si="29"/>
        <v>12</v>
      </c>
      <c r="B31" s="46"/>
      <c r="C31" s="47"/>
      <c r="D31" s="47"/>
      <c r="E31" s="47"/>
      <c r="F31" s="47"/>
      <c r="H31" s="6">
        <v>2</v>
      </c>
      <c r="I31" s="11" t="str">
        <f t="shared" si="14"/>
        <v>SI</v>
      </c>
      <c r="J31" s="8">
        <f t="shared" si="30"/>
        <v>0</v>
      </c>
      <c r="K31" s="55">
        <f t="shared" si="31"/>
        <v>0</v>
      </c>
      <c r="L31" s="55">
        <f t="shared" si="32"/>
        <v>0</v>
      </c>
      <c r="M31" s="55" t="str">
        <f t="shared" si="33"/>
        <v>NO</v>
      </c>
      <c r="N31" s="8" t="e">
        <f>InterpolarLineal(C31, 'Bandas criticas error'!$B$5:$B$28,'Bandas criticas error'!$C$5:$C$28)</f>
        <v>#N/A</v>
      </c>
      <c r="O31" s="55" t="e">
        <f t="shared" si="34"/>
        <v>#N/A</v>
      </c>
      <c r="P31" s="55" t="e">
        <f t="shared" si="35"/>
        <v>#N/A</v>
      </c>
      <c r="Q31" s="11" t="e">
        <f t="shared" si="15"/>
        <v>#N/A</v>
      </c>
      <c r="R31" s="64">
        <f t="shared" si="36"/>
        <v>0</v>
      </c>
      <c r="S31" s="57" t="e">
        <f t="shared" si="16"/>
        <v>#DIV/0!</v>
      </c>
      <c r="T31" s="56" t="str">
        <f t="shared" si="17"/>
        <v>Mas grave el tinnitus</v>
      </c>
      <c r="U31" s="11">
        <f t="shared" si="18"/>
        <v>0</v>
      </c>
      <c r="V31" s="78" t="str">
        <f t="shared" si="19"/>
        <v>Error tonal/6</v>
      </c>
      <c r="W31" s="58">
        <f t="shared" si="20"/>
        <v>0</v>
      </c>
      <c r="X31" s="57" t="e">
        <f t="shared" si="21"/>
        <v>#DIV/0!</v>
      </c>
      <c r="Y31" s="56" t="str">
        <f t="shared" si="22"/>
        <v>Se percibe por encima</v>
      </c>
      <c r="Z31" s="11">
        <f t="shared" si="23"/>
        <v>-2</v>
      </c>
      <c r="AA31" s="11" t="str">
        <f t="shared" si="24"/>
        <v>Error sonoro</v>
      </c>
      <c r="AB31" s="64" t="str">
        <f t="shared" si="25"/>
        <v>Dentro de los errores</v>
      </c>
      <c r="AC31" s="79" t="str">
        <f t="shared" si="26"/>
        <v>Dentro de los errores</v>
      </c>
      <c r="AD31" s="58" t="str">
        <f t="shared" si="27"/>
        <v>No acepto</v>
      </c>
      <c r="AE31" s="58" t="str">
        <f t="shared" si="28"/>
        <v>Acepto</v>
      </c>
    </row>
    <row r="32" spans="1:31" ht="15" thickBot="1">
      <c r="A32" s="78">
        <f t="shared" si="29"/>
        <v>13</v>
      </c>
      <c r="B32" s="46"/>
      <c r="C32" s="47"/>
      <c r="D32" s="47"/>
      <c r="E32" s="47"/>
      <c r="F32" s="47"/>
      <c r="H32" s="6">
        <v>2</v>
      </c>
      <c r="I32" s="11" t="str">
        <f t="shared" si="14"/>
        <v>SI</v>
      </c>
      <c r="J32" s="8">
        <f t="shared" si="30"/>
        <v>0</v>
      </c>
      <c r="K32" s="55">
        <f t="shared" si="31"/>
        <v>0</v>
      </c>
      <c r="L32" s="55">
        <f t="shared" si="32"/>
        <v>0</v>
      </c>
      <c r="M32" s="55" t="str">
        <f t="shared" si="33"/>
        <v>NO</v>
      </c>
      <c r="N32" s="8" t="e">
        <f>InterpolarLineal(C32, 'Bandas criticas error'!$B$5:$B$28,'Bandas criticas error'!$C$5:$C$28)</f>
        <v>#N/A</v>
      </c>
      <c r="O32" s="55" t="e">
        <f t="shared" si="34"/>
        <v>#N/A</v>
      </c>
      <c r="P32" s="55" t="e">
        <f t="shared" si="35"/>
        <v>#N/A</v>
      </c>
      <c r="Q32" s="11" t="e">
        <f t="shared" si="15"/>
        <v>#N/A</v>
      </c>
      <c r="R32" s="64">
        <f t="shared" si="36"/>
        <v>0</v>
      </c>
      <c r="S32" s="57" t="e">
        <f t="shared" si="16"/>
        <v>#DIV/0!</v>
      </c>
      <c r="T32" s="56" t="str">
        <f t="shared" si="17"/>
        <v>Mas grave el tinnitus</v>
      </c>
      <c r="U32" s="11">
        <f t="shared" si="18"/>
        <v>0</v>
      </c>
      <c r="V32" s="78" t="str">
        <f t="shared" si="19"/>
        <v>Error tonal/6</v>
      </c>
      <c r="W32" s="58">
        <f t="shared" si="20"/>
        <v>0</v>
      </c>
      <c r="X32" s="57" t="e">
        <f t="shared" si="21"/>
        <v>#DIV/0!</v>
      </c>
      <c r="Y32" s="56" t="str">
        <f t="shared" si="22"/>
        <v>Se percibe por encima</v>
      </c>
      <c r="Z32" s="11">
        <f t="shared" si="23"/>
        <v>-2</v>
      </c>
      <c r="AA32" s="11" t="str">
        <f t="shared" si="24"/>
        <v>Error sonoro</v>
      </c>
      <c r="AB32" s="64" t="str">
        <f t="shared" si="25"/>
        <v>Dentro de los errores</v>
      </c>
      <c r="AC32" s="79" t="str">
        <f t="shared" si="26"/>
        <v>Dentro de los errores</v>
      </c>
      <c r="AD32" s="58" t="str">
        <f t="shared" si="27"/>
        <v>No acepto</v>
      </c>
      <c r="AE32" s="58" t="str">
        <f t="shared" si="28"/>
        <v>Acepto</v>
      </c>
    </row>
    <row r="33" spans="18:31" ht="30" customHeight="1">
      <c r="R33" s="101" t="s">
        <v>62</v>
      </c>
      <c r="S33" s="102"/>
      <c r="T33" s="103"/>
      <c r="U33" s="4"/>
      <c r="V33" s="11"/>
      <c r="W33" s="83" t="s">
        <v>37</v>
      </c>
      <c r="X33" s="104" t="s">
        <v>61</v>
      </c>
      <c r="Y33" s="103"/>
      <c r="AD33" s="81" t="s">
        <v>35</v>
      </c>
      <c r="AE33" s="82" t="s">
        <v>36</v>
      </c>
    </row>
    <row r="34" spans="18:31" ht="15" thickBot="1">
      <c r="R34" s="88" t="e">
        <f>PromedioNegritaPositivos_max_100(S20)</f>
        <v>#N/A</v>
      </c>
      <c r="S34" s="89"/>
      <c r="T34" s="87"/>
      <c r="U34" s="4"/>
      <c r="V34" s="11"/>
      <c r="W34" s="20">
        <f>MaxNegrita(W20:W24)</f>
        <v>0</v>
      </c>
      <c r="X34" s="86" t="e">
        <f>PromedioNegritaPositivos(X20:X24)</f>
        <v>#VALUE!</v>
      </c>
      <c r="Y34" s="87"/>
      <c r="AD34" s="18" t="str">
        <f>PorcentajeNegritaAcepto(AD20:AD32)</f>
        <v>0,00% (0 de 13)</v>
      </c>
      <c r="AE34" s="19" t="str">
        <f>PorcentajeNegritaAcepto(AE20:AE32)</f>
        <v>100,00% (13 de 13)</v>
      </c>
    </row>
    <row r="35" spans="18:31">
      <c r="S35" s="23" t="s">
        <v>39</v>
      </c>
      <c r="X35" s="21" t="s">
        <v>39</v>
      </c>
    </row>
  </sheetData>
  <mergeCells count="22">
    <mergeCell ref="AD18:AE18"/>
    <mergeCell ref="K19:L19"/>
    <mergeCell ref="O19:P19"/>
    <mergeCell ref="AE12:AE14"/>
    <mergeCell ref="N16:Q16"/>
    <mergeCell ref="N17:Q17"/>
    <mergeCell ref="S15:S17"/>
    <mergeCell ref="X14:X17"/>
    <mergeCell ref="Y14:Y17"/>
    <mergeCell ref="AD14:AD17"/>
    <mergeCell ref="X34:Y34"/>
    <mergeCell ref="R34:T34"/>
    <mergeCell ref="A1:B1"/>
    <mergeCell ref="A3:C4"/>
    <mergeCell ref="V15:V16"/>
    <mergeCell ref="C18:F18"/>
    <mergeCell ref="H18:I18"/>
    <mergeCell ref="J18:M18"/>
    <mergeCell ref="N18:Q18"/>
    <mergeCell ref="R18:AC18"/>
    <mergeCell ref="R33:T33"/>
    <mergeCell ref="X33:Y33"/>
  </mergeCells>
  <conditionalFormatting sqref="Q20:Q32 M20:M32">
    <cfRule type="expression" dxfId="27" priority="34">
      <formula>OR(D20&gt;K20,D20&lt;L20)</formula>
    </cfRule>
    <cfRule type="expression" dxfId="26" priority="35">
      <formula>AND(D20&lt;K20,D20&gt;L20)</formula>
    </cfRule>
    <cfRule type="expression" dxfId="25" priority="36">
      <formula>AND(D20&gt;K20,D20&gt;L20)</formula>
    </cfRule>
  </conditionalFormatting>
  <conditionalFormatting sqref="I20:I32">
    <cfRule type="expression" dxfId="24" priority="33">
      <formula>"abs(E10-F10)&lt;H10"</formula>
    </cfRule>
  </conditionalFormatting>
  <conditionalFormatting sqref="I20:I32">
    <cfRule type="expression" dxfId="23" priority="31">
      <formula>"abs(E10-F10)&gt;H10"</formula>
    </cfRule>
    <cfRule type="expression" dxfId="22" priority="32">
      <formula>"abs(E10-F10)&lt;H10"</formula>
    </cfRule>
  </conditionalFormatting>
  <conditionalFormatting sqref="I20:I32">
    <cfRule type="expression" dxfId="21" priority="29">
      <formula>ABS(E20-F20)&lt;H20</formula>
    </cfRule>
    <cfRule type="expression" dxfId="20" priority="30">
      <formula>"(ABS(E10-F10)&lt;H10)"</formula>
    </cfRule>
  </conditionalFormatting>
  <conditionalFormatting sqref="I20:I32">
    <cfRule type="expression" dxfId="19" priority="28">
      <formula>"ABS(E10-F10)&gt;H10"</formula>
    </cfRule>
  </conditionalFormatting>
  <conditionalFormatting sqref="I20:I32">
    <cfRule type="expression" dxfId="18" priority="25">
      <formula>OR(#REF!&gt;G20,#REF!&lt;H20)</formula>
    </cfRule>
    <cfRule type="expression" dxfId="17" priority="26">
      <formula>AND(#REF!&lt;G20,#REF!&gt;H20)</formula>
    </cfRule>
    <cfRule type="expression" dxfId="16" priority="27">
      <formula>AND(#REF!&gt;G20,#REF!&gt;H20)</formula>
    </cfRule>
  </conditionalFormatting>
  <conditionalFormatting sqref="M20:M32">
    <cfRule type="expression" dxfId="15" priority="19">
      <formula>OR(D20&gt;K20, D20&lt;L20)</formula>
    </cfRule>
    <cfRule type="expression" dxfId="14" priority="20">
      <formula>AND(D20&lt;K20, D20&gt;L20)</formula>
    </cfRule>
    <cfRule type="expression" dxfId="13" priority="21">
      <formula>"Y(D10&lt;K10; D10&gt;L10)"</formula>
    </cfRule>
  </conditionalFormatting>
  <conditionalFormatting sqref="Q20:Q32">
    <cfRule type="expression" dxfId="12" priority="17">
      <formula>OR(D20&gt;O20, D20&lt;P20)</formula>
    </cfRule>
    <cfRule type="expression" dxfId="11" priority="18">
      <formula>AND(D20&lt;O20, D20&gt;P20)</formula>
    </cfRule>
  </conditionalFormatting>
  <conditionalFormatting sqref="I20:I32">
    <cfRule type="expression" dxfId="10" priority="16">
      <formula>ABS(E20-F20)&gt;H20</formula>
    </cfRule>
  </conditionalFormatting>
  <conditionalFormatting sqref="M20:M32">
    <cfRule type="expression" dxfId="9" priority="14">
      <formula>OR(D20&gt;K20, D20&lt;L20)</formula>
    </cfRule>
    <cfRule type="expression" dxfId="8" priority="15">
      <formula>AND(D20&lt;K20, D20&gt;L20)</formula>
    </cfRule>
  </conditionalFormatting>
  <conditionalFormatting sqref="AC20:AC32">
    <cfRule type="expression" dxfId="7" priority="13">
      <formula>Z20&gt;0</formula>
    </cfRule>
  </conditionalFormatting>
  <conditionalFormatting sqref="T20:T32">
    <cfRule type="expression" dxfId="6" priority="12">
      <formula>R20&gt;0</formula>
    </cfRule>
  </conditionalFormatting>
  <conditionalFormatting sqref="AD20:AD32">
    <cfRule type="expression" dxfId="5" priority="2">
      <formula>ABS(R20)&gt;J20</formula>
    </cfRule>
    <cfRule type="expression" dxfId="4" priority="10">
      <formula>ABS(R20)&lt;J20</formula>
    </cfRule>
  </conditionalFormatting>
  <conditionalFormatting sqref="AE20:AE32">
    <cfRule type="expression" dxfId="3" priority="1">
      <formula>ABS(W20)&gt;$AE$17</formula>
    </cfRule>
    <cfRule type="expression" dxfId="2" priority="9">
      <formula>ABS(W20)&lt;$AE$17</formula>
    </cfRule>
  </conditionalFormatting>
  <conditionalFormatting sqref="B20:AE32">
    <cfRule type="expression" dxfId="1" priority="3">
      <formula>$S20&gt;100</formula>
    </cfRule>
  </conditionalFormatting>
  <pageMargins left="0.7" right="0.7" top="0.75" bottom="0.75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>
  <sheetPr codeName="Hoja5"/>
  <dimension ref="A1:I28"/>
  <sheetViews>
    <sheetView workbookViewId="0">
      <selection activeCell="A29" sqref="A29"/>
    </sheetView>
  </sheetViews>
  <sheetFormatPr baseColWidth="10" defaultRowHeight="14.4"/>
  <cols>
    <col min="1" max="3" width="11.5546875" style="9"/>
    <col min="4" max="4" width="16.44140625" style="9" customWidth="1"/>
    <col min="5" max="5" width="17.109375" style="9" customWidth="1"/>
    <col min="6" max="16384" width="11.5546875" style="9"/>
  </cols>
  <sheetData>
    <row r="1" spans="1:9" ht="21">
      <c r="A1" s="84" t="s">
        <v>52</v>
      </c>
    </row>
    <row r="2" spans="1:9">
      <c r="A2" s="66" t="s">
        <v>53</v>
      </c>
    </row>
    <row r="3" spans="1:9" ht="22.8" customHeight="1" thickBot="1"/>
    <row r="4" spans="1:9" ht="32.4" customHeight="1">
      <c r="A4" s="67" t="s">
        <v>54</v>
      </c>
      <c r="B4" s="68" t="s">
        <v>55</v>
      </c>
      <c r="C4" s="68" t="s">
        <v>56</v>
      </c>
      <c r="D4" s="69" t="s">
        <v>58</v>
      </c>
      <c r="E4" s="70" t="s">
        <v>57</v>
      </c>
      <c r="F4" s="10"/>
      <c r="G4" s="113" t="s">
        <v>60</v>
      </c>
      <c r="H4" s="114"/>
    </row>
    <row r="5" spans="1:9" ht="18.600000000000001" thickBot="1">
      <c r="A5" s="71">
        <v>1</v>
      </c>
      <c r="B5" s="72">
        <v>50</v>
      </c>
      <c r="C5" s="72"/>
      <c r="D5" s="72"/>
      <c r="E5" s="73">
        <v>100</v>
      </c>
      <c r="G5" s="115">
        <v>1000</v>
      </c>
      <c r="H5" s="116"/>
    </row>
    <row r="6" spans="1:9">
      <c r="A6" s="71">
        <f>A5+1</f>
        <v>2</v>
      </c>
      <c r="B6" s="72">
        <v>150</v>
      </c>
      <c r="C6" s="72">
        <v>100</v>
      </c>
      <c r="D6" s="72">
        <v>100</v>
      </c>
      <c r="E6" s="73">
        <v>200</v>
      </c>
    </row>
    <row r="7" spans="1:9">
      <c r="A7" s="71">
        <f t="shared" ref="A7:A27" si="0">A6+1</f>
        <v>3</v>
      </c>
      <c r="B7" s="72">
        <v>250</v>
      </c>
      <c r="C7" s="72">
        <v>100</v>
      </c>
      <c r="D7" s="72">
        <v>200</v>
      </c>
      <c r="E7" s="73">
        <v>300</v>
      </c>
    </row>
    <row r="8" spans="1:9">
      <c r="A8" s="71">
        <f t="shared" si="0"/>
        <v>4</v>
      </c>
      <c r="B8" s="72">
        <v>350</v>
      </c>
      <c r="C8" s="72">
        <v>100</v>
      </c>
      <c r="D8" s="72">
        <v>300</v>
      </c>
      <c r="E8" s="73">
        <v>400</v>
      </c>
    </row>
    <row r="9" spans="1:9">
      <c r="A9" s="71">
        <f t="shared" si="0"/>
        <v>5</v>
      </c>
      <c r="B9" s="72">
        <v>450</v>
      </c>
      <c r="C9" s="72">
        <v>110</v>
      </c>
      <c r="D9" s="72">
        <v>400</v>
      </c>
      <c r="E9" s="73">
        <v>510</v>
      </c>
    </row>
    <row r="10" spans="1:9">
      <c r="A10" s="71">
        <f t="shared" si="0"/>
        <v>6</v>
      </c>
      <c r="B10" s="72">
        <v>570</v>
      </c>
      <c r="C10" s="72">
        <v>120</v>
      </c>
      <c r="D10" s="72">
        <v>510</v>
      </c>
      <c r="E10" s="73">
        <v>630</v>
      </c>
    </row>
    <row r="11" spans="1:9">
      <c r="A11" s="71">
        <f t="shared" si="0"/>
        <v>7</v>
      </c>
      <c r="B11" s="72">
        <v>700</v>
      </c>
      <c r="C11" s="72">
        <v>140</v>
      </c>
      <c r="D11" s="72">
        <v>630</v>
      </c>
      <c r="E11" s="73">
        <v>770</v>
      </c>
      <c r="G11" s="30"/>
    </row>
    <row r="12" spans="1:9">
      <c r="A12" s="71">
        <f t="shared" si="0"/>
        <v>8</v>
      </c>
      <c r="B12" s="72">
        <v>840</v>
      </c>
      <c r="C12" s="72">
        <v>150</v>
      </c>
      <c r="D12" s="72">
        <v>770</v>
      </c>
      <c r="E12" s="73">
        <v>920</v>
      </c>
    </row>
    <row r="13" spans="1:9">
      <c r="A13" s="71">
        <f t="shared" si="0"/>
        <v>9</v>
      </c>
      <c r="B13" s="72">
        <v>1000</v>
      </c>
      <c r="C13" s="72">
        <v>160</v>
      </c>
      <c r="D13" s="72">
        <v>920</v>
      </c>
      <c r="E13" s="73">
        <v>1080</v>
      </c>
    </row>
    <row r="14" spans="1:9" ht="15" thickBot="1">
      <c r="A14" s="71">
        <f t="shared" si="0"/>
        <v>10</v>
      </c>
      <c r="B14" s="72">
        <v>1170</v>
      </c>
      <c r="C14" s="72">
        <v>190</v>
      </c>
      <c r="D14" s="72">
        <v>1080</v>
      </c>
      <c r="E14" s="73">
        <v>1270</v>
      </c>
    </row>
    <row r="15" spans="1:9" ht="14.4" customHeight="1">
      <c r="A15" s="71">
        <f t="shared" si="0"/>
        <v>11</v>
      </c>
      <c r="B15" s="72">
        <v>1370</v>
      </c>
      <c r="C15" s="72">
        <v>210</v>
      </c>
      <c r="D15" s="72">
        <v>1270</v>
      </c>
      <c r="E15" s="73">
        <v>1480</v>
      </c>
      <c r="G15" s="113" t="s">
        <v>59</v>
      </c>
      <c r="H15" s="117"/>
      <c r="I15" s="114"/>
    </row>
    <row r="16" spans="1:9">
      <c r="A16" s="71">
        <f t="shared" si="0"/>
        <v>12</v>
      </c>
      <c r="B16" s="72">
        <v>1600</v>
      </c>
      <c r="C16" s="72">
        <v>240</v>
      </c>
      <c r="D16" s="72">
        <v>1480</v>
      </c>
      <c r="E16" s="73">
        <v>1720</v>
      </c>
      <c r="G16" s="118"/>
      <c r="H16" s="119"/>
      <c r="I16" s="120"/>
    </row>
    <row r="17" spans="1:9" ht="18.600000000000001" thickBot="1">
      <c r="A17" s="71">
        <f t="shared" si="0"/>
        <v>13</v>
      </c>
      <c r="B17" s="72">
        <v>1850</v>
      </c>
      <c r="C17" s="72">
        <v>280</v>
      </c>
      <c r="D17" s="72">
        <v>1720</v>
      </c>
      <c r="E17" s="73">
        <v>2000</v>
      </c>
      <c r="G17" s="110">
        <f>InterpolarLineal(G5, B5:B28,C5:C28)</f>
        <v>160</v>
      </c>
      <c r="H17" s="111"/>
      <c r="I17" s="112"/>
    </row>
    <row r="18" spans="1:9">
      <c r="A18" s="71">
        <f t="shared" si="0"/>
        <v>14</v>
      </c>
      <c r="B18" s="72">
        <v>2150</v>
      </c>
      <c r="C18" s="72">
        <v>320</v>
      </c>
      <c r="D18" s="72">
        <v>2000</v>
      </c>
      <c r="E18" s="73">
        <v>2320</v>
      </c>
    </row>
    <row r="19" spans="1:9">
      <c r="A19" s="71">
        <f t="shared" si="0"/>
        <v>15</v>
      </c>
      <c r="B19" s="72">
        <v>2500</v>
      </c>
      <c r="C19" s="72">
        <v>380</v>
      </c>
      <c r="D19" s="72">
        <v>2320</v>
      </c>
      <c r="E19" s="73">
        <v>2700</v>
      </c>
    </row>
    <row r="20" spans="1:9">
      <c r="A20" s="71">
        <f t="shared" si="0"/>
        <v>16</v>
      </c>
      <c r="B20" s="72">
        <v>2900</v>
      </c>
      <c r="C20" s="72">
        <v>450</v>
      </c>
      <c r="D20" s="72">
        <v>2700</v>
      </c>
      <c r="E20" s="73">
        <v>3150</v>
      </c>
    </row>
    <row r="21" spans="1:9">
      <c r="A21" s="71">
        <f t="shared" si="0"/>
        <v>17</v>
      </c>
      <c r="B21" s="72">
        <v>3400</v>
      </c>
      <c r="C21" s="72">
        <v>550</v>
      </c>
      <c r="D21" s="72">
        <v>3150</v>
      </c>
      <c r="E21" s="73">
        <v>3700</v>
      </c>
    </row>
    <row r="22" spans="1:9">
      <c r="A22" s="71">
        <f t="shared" si="0"/>
        <v>18</v>
      </c>
      <c r="B22" s="72">
        <v>4000</v>
      </c>
      <c r="C22" s="72">
        <v>700</v>
      </c>
      <c r="D22" s="72">
        <v>3700</v>
      </c>
      <c r="E22" s="73">
        <v>4400</v>
      </c>
    </row>
    <row r="23" spans="1:9">
      <c r="A23" s="71">
        <f t="shared" si="0"/>
        <v>19</v>
      </c>
      <c r="B23" s="72">
        <v>4800</v>
      </c>
      <c r="C23" s="72">
        <v>900</v>
      </c>
      <c r="D23" s="72">
        <v>4400</v>
      </c>
      <c r="E23" s="73">
        <v>5300</v>
      </c>
    </row>
    <row r="24" spans="1:9">
      <c r="A24" s="71">
        <f t="shared" si="0"/>
        <v>20</v>
      </c>
      <c r="B24" s="72">
        <v>5800</v>
      </c>
      <c r="C24" s="72">
        <v>1100</v>
      </c>
      <c r="D24" s="72">
        <v>5300</v>
      </c>
      <c r="E24" s="73">
        <v>6400</v>
      </c>
    </row>
    <row r="25" spans="1:9">
      <c r="A25" s="71">
        <f t="shared" si="0"/>
        <v>21</v>
      </c>
      <c r="B25" s="72">
        <v>7000</v>
      </c>
      <c r="C25" s="72">
        <v>1300</v>
      </c>
      <c r="D25" s="72">
        <v>6400</v>
      </c>
      <c r="E25" s="73">
        <v>7700</v>
      </c>
    </row>
    <row r="26" spans="1:9">
      <c r="A26" s="71">
        <f>A25+1</f>
        <v>22</v>
      </c>
      <c r="B26" s="72">
        <v>8500</v>
      </c>
      <c r="C26" s="72">
        <v>1800</v>
      </c>
      <c r="D26" s="72">
        <v>7700</v>
      </c>
      <c r="E26" s="73">
        <v>9500</v>
      </c>
    </row>
    <row r="27" spans="1:9">
      <c r="A27" s="71">
        <f t="shared" si="0"/>
        <v>23</v>
      </c>
      <c r="B27" s="72">
        <v>10500</v>
      </c>
      <c r="C27" s="72">
        <v>2500</v>
      </c>
      <c r="D27" s="72">
        <v>9500</v>
      </c>
      <c r="E27" s="73">
        <v>12000</v>
      </c>
    </row>
    <row r="28" spans="1:9" ht="15" thickBot="1">
      <c r="A28" s="18">
        <f>A27+1</f>
        <v>24</v>
      </c>
      <c r="B28" s="74">
        <v>13500</v>
      </c>
      <c r="C28" s="74">
        <v>3500</v>
      </c>
      <c r="D28" s="74">
        <v>12000</v>
      </c>
      <c r="E28" s="19">
        <v>15500</v>
      </c>
    </row>
  </sheetData>
  <mergeCells count="4">
    <mergeCell ref="G17:I17"/>
    <mergeCell ref="G4:H4"/>
    <mergeCell ref="G5:H5"/>
    <mergeCell ref="G15:I16"/>
  </mergeCells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2</vt:i4>
      </vt:variant>
    </vt:vector>
  </HeadingPairs>
  <TitlesOfParts>
    <vt:vector size="2" baseType="lpstr">
      <vt:lpstr>VALIDO</vt:lpstr>
      <vt:lpstr>Bandas criticas error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2006-09-12T12:46:56Z</dcterms:created>
  <dcterms:modified xsi:type="dcterms:W3CDTF">2025-05-16T12:03:03Z</dcterms:modified>
</cp:coreProperties>
</file>